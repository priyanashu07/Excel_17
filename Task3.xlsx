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SHU\Downloads\"/>
    </mc:Choice>
  </mc:AlternateContent>
  <xr:revisionPtr revIDLastSave="0" documentId="13_ncr:1_{C8F0D4B1-AD82-43DA-BEDB-35FDD46F8D34}" xr6:coauthVersionLast="47" xr6:coauthVersionMax="47" xr10:uidLastSave="{00000000-0000-0000-0000-000000000000}"/>
  <bookViews>
    <workbookView xWindow="-108" yWindow="-108" windowWidth="23256" windowHeight="12456" xr2:uid="{9D38C41C-AD20-4DC2-9555-31BD512614A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35" i="1"/>
  <c r="B34" i="1"/>
  <c r="B30" i="1"/>
  <c r="B26" i="1"/>
  <c r="B22" i="1"/>
  <c r="J15" i="2"/>
  <c r="J16" i="2"/>
  <c r="J11" i="2"/>
  <c r="J7" i="2"/>
  <c r="B16" i="1"/>
  <c r="C16" i="1"/>
  <c r="D16" i="1"/>
  <c r="E16" i="1"/>
  <c r="F16" i="1"/>
  <c r="J20" i="1"/>
  <c r="J16" i="1"/>
  <c r="J12" i="1"/>
  <c r="J8" i="1"/>
  <c r="J4" i="1"/>
</calcChain>
</file>

<file path=xl/sharedStrings.xml><?xml version="1.0" encoding="utf-8"?>
<sst xmlns="http://schemas.openxmlformats.org/spreadsheetml/2006/main" count="112" uniqueCount="53">
  <si>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</si>
  <si>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</si>
  <si>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</si>
  <si>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</si>
  <si>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</si>
  <si>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</si>
  <si>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</si>
  <si>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</si>
  <si>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</si>
  <si>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</si>
  <si>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</si>
  <si>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</si>
  <si>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</si>
  <si>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</si>
  <si>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</si>
  <si>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</si>
  <si>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</si>
  <si>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</si>
  <si>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</si>
  <si>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</si>
  <si>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</si>
  <si>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</si>
  <si>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</si>
  <si>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</si>
  <si>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</si>
  <si>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</si>
  <si>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</si>
  <si>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</si>
  <si>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</si>
  <si>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</si>
  <si>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</si>
  <si>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</si>
  <si>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</si>
  <si>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</si>
  <si>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EMployeeFOund</t>
  </si>
  <si>
    <t>E109</t>
  </si>
  <si>
    <t>Dept found or not</t>
  </si>
  <si>
    <t>E999</t>
  </si>
  <si>
    <t>Departmentbonus</t>
  </si>
  <si>
    <t>Task1</t>
  </si>
  <si>
    <t>Task2</t>
  </si>
  <si>
    <t>Task3</t>
  </si>
  <si>
    <t>Task4</t>
  </si>
  <si>
    <t>Task5</t>
  </si>
  <si>
    <t>Task6</t>
  </si>
  <si>
    <t>Task15</t>
  </si>
  <si>
    <t>Task7</t>
  </si>
  <si>
    <t>Task8</t>
  </si>
  <si>
    <t>Task10</t>
  </si>
  <si>
    <t>Task11</t>
  </si>
  <si>
    <t>Task12</t>
  </si>
  <si>
    <t>Task13</t>
  </si>
  <si>
    <t>Task14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</si>
</sst>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Segoe UI"/>
      <family val="2"/>
    </font>
    <font>
      <sz val="12"/>
      <name val="Segoe U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9" fontId="2" fillId="0" borderId="0" xfId="0" applyNumberFormat="1" applyFont="1" applyAlignment="1">
      <alignment horizontal="right"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9" fontId="1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E2CF-1AE7-42F5-B1D3-08045A9F15EE}">
  <dimension ref="A1:J35"/>
  <sheetViews>
    <sheetView tabSelected="1" topLeftCell="A5" workbookViewId="0">
      <selection activeCell="J8" sqref="J8"/>
    </sheetView>
  </sheetViews>
  <sheetFormatPr defaultRowHeight="15.6" x14ac:dyDescent="0.3"/>
  <cols>
    <col min="1" max="1" width="13.88671875" style="9" bestFit="1" customWidth="1"/>
    <col min="2" max="2" width="14.88671875" style="9" bestFit="1" customWidth="1"/>
    <col min="3" max="3" width="13.88671875" style="9" bestFit="1" customWidth="1"/>
    <col min="4" max="4" width="11.77734375" style="9" bestFit="1" customWidth="1"/>
    <col min="5" max="5" width="7.5546875" style="9" bestFit="1" customWidth="1"/>
    <col min="6" max="6" width="13.5546875" style="9" bestFit="1" customWidth="1"/>
    <col min="7" max="8" width="8.88671875" style="9"/>
    <col min="9" max="10" width="13.88671875" style="9" bestFit="1" customWidth="1"/>
    <col min="11" max="16384" width="8.88671875" style="9"/>
  </cols>
  <sheetData>
    <row r="1" spans="1:10" ht="19.2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10" ht="19.2" x14ac:dyDescent="0.3">
      <c r="A2" s="3" t="s">
        <v>6</v>
      </c>
      <c r="B2" s="4" t="s">
        <v>7</v>
      </c>
      <c r="C2" s="4" t="s">
        <v>8</v>
      </c>
      <c r="D2" s="4" t="s">
        <v>9</v>
      </c>
      <c r="E2" s="3">
        <v>45000</v>
      </c>
      <c r="F2" s="3">
        <v>2019</v>
      </c>
      <c r="I2" s="11" t="s">
        <v>39</v>
      </c>
      <c r="J2" s="11"/>
    </row>
    <row r="3" spans="1:10" ht="19.2" x14ac:dyDescent="0.3">
      <c r="A3" s="3" t="s">
        <v>10</v>
      </c>
      <c r="B3" s="4" t="s">
        <v>11</v>
      </c>
      <c r="C3" s="4" t="s">
        <v>12</v>
      </c>
      <c r="D3" s="4" t="s">
        <v>13</v>
      </c>
      <c r="E3" s="3">
        <v>52000</v>
      </c>
      <c r="F3" s="3">
        <v>2018</v>
      </c>
      <c r="I3" s="1" t="s">
        <v>0</v>
      </c>
      <c r="J3" s="2" t="s">
        <v>1</v>
      </c>
    </row>
    <row r="4" spans="1:10" ht="19.2" x14ac:dyDescent="0.3">
      <c r="A4" s="3" t="s">
        <v>14</v>
      </c>
      <c r="B4" s="4" t="s">
        <v>15</v>
      </c>
      <c r="C4" s="4" t="s">
        <v>16</v>
      </c>
      <c r="D4" s="4" t="s">
        <v>17</v>
      </c>
      <c r="E4" s="3">
        <v>65000</v>
      </c>
      <c r="F4" s="3">
        <v>2020</v>
      </c>
      <c r="I4" s="3" t="s">
        <v>18</v>
      </c>
      <c r="J4" s="7" t="str">
        <f>VLOOKUP(I4,A1:F9,2,0)</f>
        <v>Neha Singh</v>
      </c>
    </row>
    <row r="5" spans="1:10" ht="19.2" x14ac:dyDescent="0.3">
      <c r="A5" s="3" t="s">
        <v>18</v>
      </c>
      <c r="B5" s="4" t="s">
        <v>19</v>
      </c>
      <c r="C5" s="4" t="s">
        <v>20</v>
      </c>
      <c r="D5" s="4" t="s">
        <v>21</v>
      </c>
      <c r="E5" s="3">
        <v>58000</v>
      </c>
      <c r="F5" s="3">
        <v>2017</v>
      </c>
    </row>
    <row r="6" spans="1:10" ht="19.2" x14ac:dyDescent="0.3">
      <c r="A6" s="3" t="s">
        <v>22</v>
      </c>
      <c r="B6" s="4" t="s">
        <v>23</v>
      </c>
      <c r="C6" s="4" t="s">
        <v>24</v>
      </c>
      <c r="D6" s="4" t="s">
        <v>9</v>
      </c>
      <c r="E6" s="3">
        <v>48000</v>
      </c>
      <c r="F6" s="3">
        <v>2021</v>
      </c>
      <c r="I6" s="11" t="s">
        <v>40</v>
      </c>
      <c r="J6" s="11"/>
    </row>
    <row r="7" spans="1:10" ht="19.2" x14ac:dyDescent="0.3">
      <c r="A7" s="3" t="s">
        <v>25</v>
      </c>
      <c r="B7" s="4" t="s">
        <v>26</v>
      </c>
      <c r="C7" s="4" t="s">
        <v>16</v>
      </c>
      <c r="D7" s="4" t="s">
        <v>27</v>
      </c>
      <c r="E7" s="3">
        <v>62000</v>
      </c>
      <c r="F7" s="3">
        <v>2019</v>
      </c>
      <c r="I7" s="1" t="s">
        <v>0</v>
      </c>
      <c r="J7" s="2" t="s">
        <v>2</v>
      </c>
    </row>
    <row r="8" spans="1:10" ht="19.2" x14ac:dyDescent="0.3">
      <c r="A8" s="3" t="s">
        <v>28</v>
      </c>
      <c r="B8" s="4" t="s">
        <v>29</v>
      </c>
      <c r="C8" s="4" t="s">
        <v>8</v>
      </c>
      <c r="D8" s="4" t="s">
        <v>30</v>
      </c>
      <c r="E8" s="3">
        <v>47000</v>
      </c>
      <c r="F8" s="3">
        <v>2020</v>
      </c>
      <c r="I8" s="8" t="s">
        <v>14</v>
      </c>
      <c r="J8" s="9" t="str">
        <f>VLOOKUP(I8,A1:F9,3,0)</f>
        <v>IT</v>
      </c>
    </row>
    <row r="9" spans="1:10" ht="19.2" x14ac:dyDescent="0.3">
      <c r="A9" s="3" t="s">
        <v>31</v>
      </c>
      <c r="B9" s="4" t="s">
        <v>32</v>
      </c>
      <c r="C9" s="4" t="s">
        <v>12</v>
      </c>
      <c r="D9" s="4" t="s">
        <v>17</v>
      </c>
      <c r="E9" s="3">
        <v>54000</v>
      </c>
      <c r="F9" s="3">
        <v>2016</v>
      </c>
    </row>
    <row r="10" spans="1:10" x14ac:dyDescent="0.3">
      <c r="I10" s="11" t="s">
        <v>41</v>
      </c>
      <c r="J10" s="11"/>
    </row>
    <row r="11" spans="1:10" ht="19.2" x14ac:dyDescent="0.3">
      <c r="I11" s="2" t="s">
        <v>1</v>
      </c>
      <c r="J11" s="1" t="s">
        <v>4</v>
      </c>
    </row>
    <row r="12" spans="1:10" ht="19.2" x14ac:dyDescent="0.3">
      <c r="I12" s="4" t="s">
        <v>19</v>
      </c>
      <c r="J12" s="9">
        <f>VLOOKUP(I12,B1:F9,4,0)</f>
        <v>58000</v>
      </c>
    </row>
    <row r="14" spans="1:10" x14ac:dyDescent="0.3">
      <c r="A14" s="11" t="s">
        <v>44</v>
      </c>
      <c r="B14" s="11"/>
      <c r="C14" s="11"/>
      <c r="D14" s="11"/>
      <c r="E14" s="11"/>
      <c r="F14" s="11"/>
      <c r="I14" s="11" t="s">
        <v>42</v>
      </c>
      <c r="J14" s="11"/>
    </row>
    <row r="15" spans="1:10" ht="19.2" x14ac:dyDescent="0.3">
      <c r="A15" s="1" t="s">
        <v>0</v>
      </c>
      <c r="B15" s="2" t="s">
        <v>1</v>
      </c>
      <c r="C15" s="2" t="s">
        <v>2</v>
      </c>
      <c r="D15" s="2" t="s">
        <v>3</v>
      </c>
      <c r="E15" s="1" t="s">
        <v>4</v>
      </c>
      <c r="F15" s="1" t="s">
        <v>5</v>
      </c>
      <c r="I15" s="1" t="s">
        <v>0</v>
      </c>
      <c r="J15" s="2" t="s">
        <v>3</v>
      </c>
    </row>
    <row r="16" spans="1:10" x14ac:dyDescent="0.3">
      <c r="A16" s="9" t="s">
        <v>22</v>
      </c>
      <c r="B16" s="9" t="str">
        <f>VLOOKUP($A$16,$A$1:$F$9,COLUMNS($A$15:B15),0)</f>
        <v>Aman Kumar</v>
      </c>
      <c r="C16" s="9" t="str">
        <f>VLOOKUP($A$16,$A$1:$F$9,COLUMNS($A$15:C15),0)</f>
        <v>Marketing</v>
      </c>
      <c r="D16" s="9" t="str">
        <f>VLOOKUP($A$16,$A$1:$F$9,COLUMNS($A$15:D15),0)</f>
        <v>Mumbai</v>
      </c>
      <c r="E16" s="9">
        <f>VLOOKUP($A$16,$A$1:$F$9,COLUMNS($A$15:E15),0)</f>
        <v>48000</v>
      </c>
      <c r="F16" s="9">
        <f>VLOOKUP($A$16,$A$1:$F$9,COLUMNS($A$15:F15),0)</f>
        <v>2021</v>
      </c>
      <c r="I16" s="9" t="s">
        <v>28</v>
      </c>
      <c r="J16" s="9" t="str">
        <f>VLOOKUP(I16,A1:F9,4,0)</f>
        <v>Hyderabad</v>
      </c>
    </row>
    <row r="18" spans="1:10" x14ac:dyDescent="0.3">
      <c r="I18" s="11" t="s">
        <v>43</v>
      </c>
      <c r="J18" s="11"/>
    </row>
    <row r="19" spans="1:10" ht="19.2" x14ac:dyDescent="0.3">
      <c r="I19" s="1" t="s">
        <v>0</v>
      </c>
      <c r="J19" s="9" t="s">
        <v>34</v>
      </c>
    </row>
    <row r="20" spans="1:10" x14ac:dyDescent="0.3">
      <c r="A20" s="11" t="s">
        <v>49</v>
      </c>
      <c r="B20" s="11"/>
      <c r="I20" s="9" t="s">
        <v>35</v>
      </c>
      <c r="J20" s="9" t="str">
        <f>IFERROR(VLOOKUP(I20,A1:F9,1,0),"Not Found")</f>
        <v>Not Found</v>
      </c>
    </row>
    <row r="21" spans="1:10" ht="19.2" x14ac:dyDescent="0.3">
      <c r="A21" s="1" t="s">
        <v>0</v>
      </c>
      <c r="B21" s="1" t="s">
        <v>4</v>
      </c>
    </row>
    <row r="22" spans="1:10" x14ac:dyDescent="0.3">
      <c r="A22" s="9" t="s">
        <v>28</v>
      </c>
      <c r="B22" s="9">
        <f>_xlfn.XLOOKUP(A22,A1:A9,E1:E9)</f>
        <v>47000</v>
      </c>
    </row>
    <row r="24" spans="1:10" x14ac:dyDescent="0.3">
      <c r="A24" s="11" t="s">
        <v>50</v>
      </c>
      <c r="B24" s="11"/>
    </row>
    <row r="25" spans="1:10" ht="19.2" x14ac:dyDescent="0.3">
      <c r="A25" s="2" t="s">
        <v>1</v>
      </c>
      <c r="B25" s="2" t="s">
        <v>2</v>
      </c>
    </row>
    <row r="26" spans="1:10" ht="19.2" x14ac:dyDescent="0.3">
      <c r="A26" s="4" t="s">
        <v>32</v>
      </c>
      <c r="B26" s="9" t="str">
        <f>_xlfn.XLOOKUP(A26,B1:B9,C1:C9)</f>
        <v>HR</v>
      </c>
    </row>
    <row r="27" spans="1:10" ht="19.2" x14ac:dyDescent="0.3">
      <c r="A27" s="4"/>
    </row>
    <row r="28" spans="1:10" x14ac:dyDescent="0.3">
      <c r="A28" s="11" t="s">
        <v>51</v>
      </c>
      <c r="B28" s="11"/>
    </row>
    <row r="29" spans="1:10" ht="19.2" x14ac:dyDescent="0.3">
      <c r="A29" s="2" t="s">
        <v>1</v>
      </c>
      <c r="B29" s="2" t="s">
        <v>3</v>
      </c>
    </row>
    <row r="30" spans="1:10" ht="19.2" x14ac:dyDescent="0.3">
      <c r="A30" s="4" t="s">
        <v>23</v>
      </c>
      <c r="B30" s="9" t="str">
        <f>_xlfn.XLOOKUP(A30,B1:B9,D1:D9)</f>
        <v>Mumbai</v>
      </c>
    </row>
    <row r="32" spans="1:10" x14ac:dyDescent="0.3">
      <c r="A32" s="11" t="s">
        <v>52</v>
      </c>
      <c r="B32" s="11"/>
    </row>
    <row r="33" spans="1:2" ht="19.2" x14ac:dyDescent="0.3">
      <c r="A33" s="1" t="s">
        <v>0</v>
      </c>
    </row>
    <row r="34" spans="1:2" x14ac:dyDescent="0.3">
      <c r="A34" s="9" t="s">
        <v>14</v>
      </c>
      <c r="B34" s="9" t="str">
        <f>_xlfn.XLOOKUP(A34,A1:A9,B1:B9,"Employee not found")</f>
        <v>Rohit Verma</v>
      </c>
    </row>
    <row r="35" spans="1:2" x14ac:dyDescent="0.3">
      <c r="A35" s="9" t="s">
        <v>37</v>
      </c>
      <c r="B35" s="9" t="str">
        <f>_xlfn.XLOOKUP(A35,A2:A10,B2:B10,"Employee not found")</f>
        <v>Employee not found</v>
      </c>
    </row>
  </sheetData>
  <mergeCells count="10">
    <mergeCell ref="I2:J2"/>
    <mergeCell ref="I6:J6"/>
    <mergeCell ref="I10:J10"/>
    <mergeCell ref="I14:J14"/>
    <mergeCell ref="I18:J18"/>
    <mergeCell ref="A20:B20"/>
    <mergeCell ref="A24:B24"/>
    <mergeCell ref="A28:B28"/>
    <mergeCell ref="A32:B32"/>
    <mergeCell ref="A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416-8BBB-4A9C-B485-671B0F6727C9}">
  <dimension ref="A1:J16"/>
  <sheetViews>
    <sheetView zoomScale="102" workbookViewId="0">
      <selection activeCell="I13" sqref="I13:J13"/>
    </sheetView>
  </sheetViews>
  <sheetFormatPr defaultRowHeight="14.4" x14ac:dyDescent="0.3"/>
  <cols>
    <col min="1" max="1" width="13.88671875" bestFit="1" customWidth="1"/>
    <col min="2" max="2" width="18.88671875" bestFit="1" customWidth="1"/>
    <col min="3" max="3" width="4.109375" bestFit="1" customWidth="1"/>
    <col min="4" max="4" width="5.21875" bestFit="1" customWidth="1"/>
    <col min="5" max="5" width="9.109375" bestFit="1" customWidth="1"/>
    <col min="6" max="6" width="13.88671875" bestFit="1" customWidth="1"/>
    <col min="7" max="7" width="9.21875" bestFit="1" customWidth="1"/>
    <col min="9" max="9" width="13.88671875" bestFit="1" customWidth="1"/>
  </cols>
  <sheetData>
    <row r="1" spans="1:10" ht="19.2" x14ac:dyDescent="0.3">
      <c r="A1" s="2" t="s">
        <v>2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</row>
    <row r="2" spans="1:10" ht="19.2" x14ac:dyDescent="0.3">
      <c r="A2" s="4" t="s">
        <v>33</v>
      </c>
      <c r="B2" s="5">
        <v>0.1</v>
      </c>
      <c r="C2" s="5">
        <v>0.08</v>
      </c>
      <c r="D2" s="5">
        <v>0.12</v>
      </c>
      <c r="E2" s="5">
        <v>0.15</v>
      </c>
      <c r="F2" s="5">
        <v>0.09</v>
      </c>
    </row>
    <row r="5" spans="1:10" ht="15.6" x14ac:dyDescent="0.3">
      <c r="I5" s="11" t="s">
        <v>46</v>
      </c>
      <c r="J5" s="11"/>
    </row>
    <row r="6" spans="1:10" ht="19.2" x14ac:dyDescent="0.3">
      <c r="A6" s="11" t="s">
        <v>45</v>
      </c>
      <c r="B6" s="11"/>
      <c r="F6" s="2" t="s">
        <v>2</v>
      </c>
      <c r="G6" s="4" t="s">
        <v>33</v>
      </c>
      <c r="I6" s="2" t="s">
        <v>2</v>
      </c>
      <c r="J6" s="1" t="s">
        <v>16</v>
      </c>
    </row>
    <row r="7" spans="1:10" ht="19.2" x14ac:dyDescent="0.3">
      <c r="A7" s="4" t="s">
        <v>33</v>
      </c>
      <c r="B7" s="5" t="s">
        <v>38</v>
      </c>
      <c r="F7" s="1" t="s">
        <v>8</v>
      </c>
      <c r="G7" s="5">
        <v>0.1</v>
      </c>
      <c r="I7" s="4" t="s">
        <v>33</v>
      </c>
      <c r="J7">
        <f>HLOOKUP(J6,A1:F2,ROWS(I6:I7),0)</f>
        <v>0.12</v>
      </c>
    </row>
    <row r="8" spans="1:10" ht="19.2" x14ac:dyDescent="0.3">
      <c r="A8" s="10">
        <v>0.15</v>
      </c>
      <c r="B8" s="5" t="str">
        <f>_xlfn.XLOOKUP(A8,G6:G11,F6:F11)</f>
        <v>Finance</v>
      </c>
      <c r="F8" s="1" t="s">
        <v>12</v>
      </c>
      <c r="G8" s="5">
        <v>0.08</v>
      </c>
    </row>
    <row r="9" spans="1:10" ht="19.2" x14ac:dyDescent="0.3">
      <c r="A9" s="10">
        <v>0.1</v>
      </c>
      <c r="B9" s="5" t="str">
        <f>_xlfn.XLOOKUP(A9,G7:G12,F7:F12)</f>
        <v>Sales</v>
      </c>
      <c r="F9" s="1" t="s">
        <v>16</v>
      </c>
      <c r="G9" s="5">
        <v>0.12</v>
      </c>
      <c r="I9" s="11" t="s">
        <v>47</v>
      </c>
      <c r="J9" s="11"/>
    </row>
    <row r="10" spans="1:10" ht="19.2" x14ac:dyDescent="0.3">
      <c r="A10" s="1"/>
      <c r="B10" s="5"/>
      <c r="F10" s="1" t="s">
        <v>20</v>
      </c>
      <c r="G10" s="5">
        <v>0.15</v>
      </c>
      <c r="I10" s="2" t="s">
        <v>2</v>
      </c>
      <c r="J10" s="1" t="s">
        <v>20</v>
      </c>
    </row>
    <row r="11" spans="1:10" ht="19.2" x14ac:dyDescent="0.3">
      <c r="A11" s="1"/>
      <c r="B11" s="5"/>
      <c r="F11" s="1" t="s">
        <v>24</v>
      </c>
      <c r="G11" s="5">
        <v>0.09</v>
      </c>
      <c r="I11" s="4" t="s">
        <v>33</v>
      </c>
      <c r="J11">
        <f>HLOOKUP(J10,A1:F2,ROWS(I10:I11),0)</f>
        <v>0.15</v>
      </c>
    </row>
    <row r="12" spans="1:10" ht="19.2" x14ac:dyDescent="0.3">
      <c r="F12" s="1"/>
      <c r="G12" s="5"/>
    </row>
    <row r="13" spans="1:10" ht="19.2" x14ac:dyDescent="0.3">
      <c r="F13" s="1"/>
      <c r="G13" s="5"/>
      <c r="I13" s="11" t="s">
        <v>48</v>
      </c>
      <c r="J13" s="11"/>
    </row>
    <row r="14" spans="1:10" ht="43.2" x14ac:dyDescent="0.3">
      <c r="I14" s="2" t="s">
        <v>2</v>
      </c>
      <c r="J14" s="6" t="s">
        <v>36</v>
      </c>
    </row>
    <row r="15" spans="1:10" x14ac:dyDescent="0.3">
      <c r="I15" t="s">
        <v>8</v>
      </c>
      <c r="J15" t="str">
        <f>IFERROR(HLOOKUP(I15,A1:F2,1,0),"No bonus data")</f>
        <v>Sales</v>
      </c>
    </row>
    <row r="16" spans="1:10" x14ac:dyDescent="0.3">
      <c r="I16" t="s">
        <v>12</v>
      </c>
      <c r="J16" t="str">
        <f>IFERROR(HLOOKUP(I16,A2:F3,1,0),"No bonus data")</f>
        <v>No bonus data</v>
      </c>
    </row>
  </sheetData>
  <mergeCells count="4">
    <mergeCell ref="A6:B6"/>
    <mergeCell ref="I5:J5"/>
    <mergeCell ref="I9:J9"/>
    <mergeCell ref="I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ishantyadav607@outlook.com</dc:creator>
  <cp:lastModifiedBy>ishantyadav607@outlook.com</cp:lastModifiedBy>
  <dcterms:created xsi:type="dcterms:W3CDTF">2026-06-29T13:34:55Z</dcterms:created>
  <dcterms:modified xsi:type="dcterms:W3CDTF">2026-07-01T04:28:44Z</dcterms:modified>
</cp:coreProperties>
</file>