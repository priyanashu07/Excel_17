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U\Downloads\"/>
    </mc:Choice>
  </mc:AlternateContent>
  <xr:revisionPtr revIDLastSave="0" documentId="13_ncr:1_{C057F6F9-886E-41B7-8CD2-EE9C55E404E9}" xr6:coauthVersionLast="47" xr6:coauthVersionMax="47" xr10:uidLastSave="{00000000-0000-0000-0000-000000000000}"/>
  <bookViews>
    <workbookView xWindow="-108" yWindow="-108" windowWidth="23256" windowHeight="12456" activeTab="9" xr2:uid="{CD98E859-C506-433E-8000-E835FE88030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7" l="1"/>
  <c r="C2" i="7"/>
  <c r="H2" i="6"/>
  <c r="G2" i="6"/>
  <c r="I2" i="5"/>
  <c r="H2" i="5"/>
  <c r="G2" i="5"/>
  <c r="F2" i="5"/>
  <c r="D2" i="5"/>
  <c r="E2" i="5"/>
  <c r="C23" i="5"/>
  <c r="C22" i="5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C26" i="4"/>
  <c r="C25" i="4"/>
  <c r="C24" i="4"/>
  <c r="C23" i="4"/>
</calcChain>
</file>

<file path=xl/sharedStrings.xml><?xml version="1.0" encoding="utf-8"?>
<sst xmlns="http://schemas.openxmlformats.org/spreadsheetml/2006/main" count="456" uniqueCount="193">
  <si>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</si>
  <si>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</si>
  <si>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</si>
  <si>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</si>
  <si>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</si>
  <si>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</si>
  <si>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</si>
  <si>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</si>
  <si>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</si>
  <si>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</si>
  <si>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</si>
  <si>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</si>
  <si>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</si>
  <si>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</si>
  <si>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</si>
  <si>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</si>
  <si>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</si>
  <si>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</si>
  <si>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</si>
  <si>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</si>
  <si>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</si>
  <si>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</si>
  <si>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</si>
  <si>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</si>
  <si>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</si>
  <si>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</si>
  <si>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</si>
  <si>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</si>
  <si>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</si>
  <si>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</si>
  <si>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</si>
  <si>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</si>
  <si>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</si>
  <si>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</si>
  <si>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Priyanshu Yadav</t>
  </si>
  <si>
    <t>Isha Joshi</t>
  </si>
  <si>
    <t>Pari Hadvaid</t>
  </si>
  <si>
    <t>Prachi singh</t>
  </si>
  <si>
    <t>Priyanka Yadav</t>
  </si>
  <si>
    <t>Ishant Yadav</t>
  </si>
  <si>
    <t>Trisha Sinha</t>
  </si>
  <si>
    <t>Jeel Somani</t>
  </si>
  <si>
    <t>Krishna Sharma</t>
  </si>
  <si>
    <t>Priya verma</t>
  </si>
  <si>
    <t>Arjun Vaidya</t>
  </si>
  <si>
    <t>Aisha Yadav</t>
  </si>
  <si>
    <t>Satyam Singh</t>
  </si>
  <si>
    <t>Shaurya Patel</t>
  </si>
  <si>
    <t>Vishwa Sinha</t>
  </si>
  <si>
    <t>Marketing</t>
  </si>
  <si>
    <t>Management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</si>
  <si>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</si>
  <si>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</si>
  <si>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</si>
  <si>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</si>
  <si>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</si>
  <si>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</si>
  <si>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</si>
  <si>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</si>
  <si>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</si>
  <si>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</si>
  <si>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</si>
  <si>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</si>
  <si>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</si>
  <si>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</si>
  <si>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</si>
  <si>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</si>
  <si>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</si>
  <si>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Laptop Dell Inspiron 16</t>
  </si>
  <si>
    <t>Laptop Dell Inspiron 17</t>
  </si>
  <si>
    <t>Victus Laptop</t>
  </si>
  <si>
    <t>Laptop Dell Inspiron 18</t>
  </si>
  <si>
    <t>Savita</t>
  </si>
  <si>
    <t>Isha</t>
  </si>
  <si>
    <t>Vidya</t>
  </si>
  <si>
    <t>Priyanshu</t>
  </si>
  <si>
    <t>Aisha</t>
  </si>
  <si>
    <t>Ishant</t>
  </si>
  <si>
    <t>Krishna</t>
  </si>
  <si>
    <t>Shatyam</t>
  </si>
  <si>
    <t>Sumit</t>
  </si>
  <si>
    <t>Shaurya</t>
  </si>
  <si>
    <t>Priyanka</t>
  </si>
  <si>
    <t>Pari</t>
  </si>
  <si>
    <t>Prachi</t>
  </si>
  <si>
    <t>Trisha</t>
  </si>
  <si>
    <t>Viswa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</si>
  <si>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</si>
  <si>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</si>
  <si>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</si>
  <si>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</si>
  <si>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</si>
  <si>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</si>
  <si>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</si>
  <si>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</si>
  <si>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</si>
  <si>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</si>
  <si>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</si>
  <si>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Jeel</t>
  </si>
  <si>
    <t xml:space="preserve">Prachi </t>
  </si>
  <si>
    <t>Vishwa</t>
  </si>
  <si>
    <t>Aman</t>
  </si>
  <si>
    <t>Ravi</t>
  </si>
  <si>
    <t>Priya</t>
  </si>
  <si>
    <t>Siya</t>
  </si>
  <si>
    <t>Riya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</si>
  <si>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</si>
  <si>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</si>
  <si>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</si>
  <si>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</si>
  <si>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</si>
  <si>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</si>
  <si>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</si>
  <si>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</si>
  <si>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</si>
  <si>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</si>
  <si>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</si>
  <si>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</si>
  <si>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</si>
  <si>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</si>
  <si>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</si>
  <si>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</si>
  <si>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</si>
  <si>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</si>
  <si>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</si>
  <si>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</si>
  <si>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</si>
  <si>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</si>
  <si>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Sum</t>
  </si>
  <si>
    <t>Average</t>
  </si>
  <si>
    <t>Highest Value</t>
  </si>
  <si>
    <t>Lowest Value</t>
  </si>
  <si>
    <t>Employee Name</t>
  </si>
  <si>
    <t>Suresh</t>
  </si>
  <si>
    <t>Meena</t>
  </si>
  <si>
    <t>Karan</t>
  </si>
  <si>
    <t>Ritu</t>
  </si>
  <si>
    <t>Neel</t>
  </si>
  <si>
    <t xml:space="preserve">Count </t>
  </si>
  <si>
    <t>Total Salary of HR</t>
  </si>
  <si>
    <t>Total Salary of IT</t>
  </si>
  <si>
    <t>Total Salary of Finance</t>
  </si>
  <si>
    <t>Total Salary of Sales</t>
  </si>
  <si>
    <t>Total Salary of Marketing</t>
  </si>
  <si>
    <t xml:space="preserve">Total Salary of Management </t>
  </si>
  <si>
    <t>Day 1</t>
  </si>
  <si>
    <t>Day 2</t>
  </si>
  <si>
    <t>Day 3</t>
  </si>
  <si>
    <t>Day 4</t>
  </si>
  <si>
    <t>Day 5</t>
  </si>
  <si>
    <t>P</t>
  </si>
  <si>
    <t>A</t>
  </si>
  <si>
    <t>Total Present</t>
  </si>
  <si>
    <t>Total Absent</t>
  </si>
  <si>
    <t>O101</t>
  </si>
  <si>
    <t>O102</t>
  </si>
  <si>
    <t>O103</t>
  </si>
  <si>
    <t>O104</t>
  </si>
  <si>
    <t>O105</t>
  </si>
  <si>
    <t>O106</t>
  </si>
  <si>
    <t>Order ID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</si>
  <si>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</si>
  <si>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</si>
  <si>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</si>
  <si>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</si>
  <si>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</si>
  <si>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</si>
  <si>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</si>
  <si>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</si>
  <si>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</si>
  <si>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</si>
  <si>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</si>
  <si>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</si>
  <si>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</si>
  <si>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</si>
  <si>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Count sales above 10000</t>
  </si>
  <si>
    <t>Count sales below 5000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</si>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</sst>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8"/>
      <name val="Calibri"/>
      <family val="2"/>
      <scheme val="minor"/>
    </font>
    <font>
      <b/>
      <sz val="10"/>
      <color theme="1"/>
      <name val="Segoe UI"/>
      <family val="2"/>
    </font>
    <font>
      <sz val="14"/>
      <color theme="1"/>
      <name val="Arial Rounded MT Bold"/>
      <family val="2"/>
    </font>
    <font>
      <sz val="10"/>
      <color theme="1"/>
      <name val="Segoe U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7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14" fontId="0" fillId="0" borderId="0" xfId="0" applyNumberFormat="1"/>
    <xf numFmtId="0" fontId="2" fillId="0" borderId="2" xfId="0" applyFont="1" applyBorder="1" applyAlignment="1">
      <alignment horizontal="left" vertical="center" indent="1"/>
    </xf>
    <xf numFmtId="14" fontId="2" fillId="0" borderId="3" xfId="0" applyNumberFormat="1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wrapText="1" indent="1"/>
    </xf>
    <xf numFmtId="14" fontId="0" fillId="0" borderId="3" xfId="0" applyNumberFormat="1" applyBorder="1"/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indent="1"/>
    </xf>
    <xf numFmtId="14" fontId="0" fillId="0" borderId="6" xfId="0" applyNumberFormat="1" applyBorder="1"/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 inden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5" fillId="3" borderId="8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indent="1"/>
    </xf>
    <xf numFmtId="164" fontId="2" fillId="0" borderId="5" xfId="0" applyNumberFormat="1" applyFont="1" applyBorder="1" applyAlignment="1">
      <alignment horizontal="left" vertical="center" indent="1"/>
    </xf>
    <xf numFmtId="0" fontId="3" fillId="2" borderId="1" xfId="1" applyFont="1" applyAlignment="1">
      <alignment horizontal="center" vertical="center" wrapText="1"/>
    </xf>
    <xf numFmtId="0" fontId="3" fillId="2" borderId="1" xfId="1" applyFont="1" applyAlignment="1">
      <alignment horizontal="center" vertical="center"/>
    </xf>
    <xf numFmtId="164" fontId="0" fillId="0" borderId="0" xfId="0" applyNumberFormat="1"/>
    <xf numFmtId="10" fontId="3" fillId="2" borderId="1" xfId="1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left" vertical="center" wrapText="1" indent="1"/>
    </xf>
    <xf numFmtId="164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7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8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 indent="1"/>
    </xf>
  </cellXfs>
  <cellStyles count="2">
    <cellStyle name="Normal" xfId="0" builtinId="0"/>
    <cellStyle name="Note" xfId="1" builtinId="10"/>
  </cellStyles>
  <dxfs count="12"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1A0A-7747-46E6-B1EE-C70BA2C406FE}">
  <dimension ref="A1:E21"/>
  <sheetViews>
    <sheetView workbookViewId="0">
      <selection activeCell="D7" sqref="D7:D19"/>
    </sheetView>
  </sheetViews>
  <sheetFormatPr defaultRowHeight="14.4" x14ac:dyDescent="0.3"/>
  <cols>
    <col min="1" max="1" width="7.88671875" bestFit="1" customWidth="1"/>
    <col min="2" max="2" width="16.21875" bestFit="1" customWidth="1"/>
    <col min="3" max="3" width="13.77734375" bestFit="1" customWidth="1"/>
    <col min="4" max="4" width="12.88671875" bestFit="1" customWidth="1"/>
    <col min="5" max="5" width="11.88671875" bestFit="1" customWidth="1"/>
  </cols>
  <sheetData>
    <row r="1" spans="1:5" ht="30" x14ac:dyDescent="0.3">
      <c r="A1" s="13" t="s">
        <v>0</v>
      </c>
      <c r="B1" s="14" t="s">
        <v>1</v>
      </c>
      <c r="C1" s="14" t="s">
        <v>2</v>
      </c>
      <c r="D1" s="20" t="s">
        <v>3</v>
      </c>
      <c r="E1" s="15" t="s">
        <v>4</v>
      </c>
    </row>
    <row r="2" spans="1:5" ht="15" x14ac:dyDescent="0.3">
      <c r="A2" s="6" t="s">
        <v>5</v>
      </c>
      <c r="B2" s="4" t="s">
        <v>6</v>
      </c>
      <c r="C2" s="4" t="s">
        <v>7</v>
      </c>
      <c r="D2" s="21">
        <v>32000</v>
      </c>
      <c r="E2" s="7">
        <v>44573</v>
      </c>
    </row>
    <row r="3" spans="1:5" ht="15" x14ac:dyDescent="0.3">
      <c r="A3" s="6" t="s">
        <v>8</v>
      </c>
      <c r="B3" s="4" t="s">
        <v>9</v>
      </c>
      <c r="C3" s="4" t="s">
        <v>10</v>
      </c>
      <c r="D3" s="21">
        <v>45000</v>
      </c>
      <c r="E3" s="7">
        <v>44260</v>
      </c>
    </row>
    <row r="4" spans="1:5" ht="15" x14ac:dyDescent="0.3">
      <c r="A4" s="6" t="s">
        <v>11</v>
      </c>
      <c r="B4" s="4" t="s">
        <v>12</v>
      </c>
      <c r="C4" s="4" t="s">
        <v>13</v>
      </c>
      <c r="D4" s="21">
        <v>38000</v>
      </c>
      <c r="E4" s="7">
        <v>44030</v>
      </c>
    </row>
    <row r="5" spans="1:5" ht="15" x14ac:dyDescent="0.3">
      <c r="A5" s="6" t="s">
        <v>14</v>
      </c>
      <c r="B5" s="4" t="s">
        <v>15</v>
      </c>
      <c r="C5" s="4" t="s">
        <v>10</v>
      </c>
      <c r="D5" s="21">
        <v>52000</v>
      </c>
      <c r="E5" s="7">
        <v>43779</v>
      </c>
    </row>
    <row r="6" spans="1:5" ht="15" x14ac:dyDescent="0.3">
      <c r="A6" s="6" t="s">
        <v>16</v>
      </c>
      <c r="B6" s="4" t="s">
        <v>17</v>
      </c>
      <c r="C6" s="4" t="s">
        <v>18</v>
      </c>
      <c r="D6" s="21">
        <v>30000</v>
      </c>
      <c r="E6" s="7">
        <v>45102</v>
      </c>
    </row>
    <row r="7" spans="1:5" ht="15" x14ac:dyDescent="0.3">
      <c r="A7" s="8" t="s">
        <v>19</v>
      </c>
      <c r="B7" s="4" t="s">
        <v>34</v>
      </c>
      <c r="C7" s="4" t="s">
        <v>49</v>
      </c>
      <c r="D7" s="21">
        <v>60000</v>
      </c>
      <c r="E7" s="9">
        <v>44902</v>
      </c>
    </row>
    <row r="8" spans="1:5" ht="15" x14ac:dyDescent="0.3">
      <c r="A8" s="8" t="s">
        <v>20</v>
      </c>
      <c r="B8" s="4" t="s">
        <v>35</v>
      </c>
      <c r="C8" s="4" t="s">
        <v>50</v>
      </c>
      <c r="D8" s="21">
        <v>45000</v>
      </c>
      <c r="E8" s="9">
        <v>45630</v>
      </c>
    </row>
    <row r="9" spans="1:5" ht="15" x14ac:dyDescent="0.3">
      <c r="A9" s="8" t="s">
        <v>21</v>
      </c>
      <c r="B9" s="4" t="s">
        <v>36</v>
      </c>
      <c r="C9" s="4" t="s">
        <v>7</v>
      </c>
      <c r="D9" s="21">
        <v>50000</v>
      </c>
      <c r="E9" s="9">
        <v>44195</v>
      </c>
    </row>
    <row r="10" spans="1:5" ht="15" x14ac:dyDescent="0.3">
      <c r="A10" s="8" t="s">
        <v>22</v>
      </c>
      <c r="B10" s="4" t="s">
        <v>37</v>
      </c>
      <c r="C10" s="4" t="s">
        <v>10</v>
      </c>
      <c r="D10" s="21">
        <v>34000</v>
      </c>
      <c r="E10" s="9">
        <v>43709</v>
      </c>
    </row>
    <row r="11" spans="1:5" ht="15" x14ac:dyDescent="0.3">
      <c r="A11" s="8" t="s">
        <v>23</v>
      </c>
      <c r="B11" s="4" t="s">
        <v>38</v>
      </c>
      <c r="C11" s="4" t="s">
        <v>13</v>
      </c>
      <c r="D11" s="21">
        <v>32000</v>
      </c>
      <c r="E11" s="9">
        <v>44765</v>
      </c>
    </row>
    <row r="12" spans="1:5" ht="15" x14ac:dyDescent="0.3">
      <c r="A12" s="8" t="s">
        <v>24</v>
      </c>
      <c r="B12" s="4" t="s">
        <v>39</v>
      </c>
      <c r="C12" s="4" t="s">
        <v>10</v>
      </c>
      <c r="D12" s="21">
        <v>45000</v>
      </c>
      <c r="E12" s="7">
        <v>44573</v>
      </c>
    </row>
    <row r="13" spans="1:5" ht="15" x14ac:dyDescent="0.3">
      <c r="A13" s="8" t="s">
        <v>25</v>
      </c>
      <c r="B13" s="4" t="s">
        <v>40</v>
      </c>
      <c r="C13" s="4" t="s">
        <v>18</v>
      </c>
      <c r="D13" s="21">
        <v>56000</v>
      </c>
      <c r="E13" s="7">
        <v>44260</v>
      </c>
    </row>
    <row r="14" spans="1:5" ht="15" x14ac:dyDescent="0.3">
      <c r="A14" s="8" t="s">
        <v>26</v>
      </c>
      <c r="B14" s="4" t="s">
        <v>41</v>
      </c>
      <c r="C14" s="4" t="s">
        <v>49</v>
      </c>
      <c r="D14" s="21">
        <v>32000</v>
      </c>
      <c r="E14" s="7">
        <v>44030</v>
      </c>
    </row>
    <row r="15" spans="1:5" ht="15" x14ac:dyDescent="0.3">
      <c r="A15" s="8" t="s">
        <v>27</v>
      </c>
      <c r="B15" s="4" t="s">
        <v>42</v>
      </c>
      <c r="C15" s="4" t="s">
        <v>50</v>
      </c>
      <c r="D15" s="21">
        <v>19000</v>
      </c>
      <c r="E15" s="7">
        <v>43779</v>
      </c>
    </row>
    <row r="16" spans="1:5" ht="15" x14ac:dyDescent="0.3">
      <c r="A16" s="8" t="s">
        <v>28</v>
      </c>
      <c r="B16" s="4" t="s">
        <v>43</v>
      </c>
      <c r="C16" s="4" t="s">
        <v>7</v>
      </c>
      <c r="D16" s="21">
        <v>23000</v>
      </c>
      <c r="E16" s="7">
        <v>45102</v>
      </c>
    </row>
    <row r="17" spans="1:5" ht="15" x14ac:dyDescent="0.3">
      <c r="A17" s="8" t="s">
        <v>29</v>
      </c>
      <c r="B17" s="4" t="s">
        <v>44</v>
      </c>
      <c r="C17" s="4" t="s">
        <v>10</v>
      </c>
      <c r="D17" s="21">
        <v>43000</v>
      </c>
      <c r="E17" s="9">
        <v>44902</v>
      </c>
    </row>
    <row r="18" spans="1:5" ht="15" x14ac:dyDescent="0.3">
      <c r="A18" s="8" t="s">
        <v>30</v>
      </c>
      <c r="B18" s="4" t="s">
        <v>45</v>
      </c>
      <c r="C18" s="4" t="s">
        <v>13</v>
      </c>
      <c r="D18" s="21">
        <v>48000</v>
      </c>
      <c r="E18" s="9">
        <v>45630</v>
      </c>
    </row>
    <row r="19" spans="1:5" ht="15" x14ac:dyDescent="0.3">
      <c r="A19" s="8" t="s">
        <v>31</v>
      </c>
      <c r="B19" s="4" t="s">
        <v>46</v>
      </c>
      <c r="C19" s="4" t="s">
        <v>10</v>
      </c>
      <c r="D19" s="21">
        <v>27000</v>
      </c>
      <c r="E19" s="9">
        <v>44195</v>
      </c>
    </row>
    <row r="20" spans="1:5" ht="15" x14ac:dyDescent="0.3">
      <c r="A20" s="8" t="s">
        <v>32</v>
      </c>
      <c r="B20" s="4" t="s">
        <v>47</v>
      </c>
      <c r="C20" s="4" t="s">
        <v>18</v>
      </c>
      <c r="D20" s="21">
        <v>38000</v>
      </c>
      <c r="E20" s="9">
        <v>43709</v>
      </c>
    </row>
    <row r="21" spans="1:5" ht="15.6" thickBot="1" x14ac:dyDescent="0.35">
      <c r="A21" s="10" t="s">
        <v>33</v>
      </c>
      <c r="B21" s="11" t="s">
        <v>48</v>
      </c>
      <c r="C21" s="11" t="s">
        <v>49</v>
      </c>
      <c r="D21" s="22">
        <v>42000</v>
      </c>
      <c r="E21" s="12">
        <v>44765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A6FF-1834-4C18-91C7-D8F8E7AADCB0}">
  <dimension ref="A1:D21"/>
  <sheetViews>
    <sheetView workbookViewId="0">
      <selection activeCell="A7" sqref="A7"/>
    </sheetView>
  </sheetViews>
  <sheetFormatPr defaultRowHeight="14.4" x14ac:dyDescent="0.3"/>
  <cols>
    <col min="1" max="1" width="27.21875" bestFit="1" customWidth="1"/>
    <col min="2" max="2" width="7.5546875" bestFit="1" customWidth="1"/>
    <col min="3" max="3" width="13.33203125" bestFit="1" customWidth="1"/>
    <col min="4" max="4" width="12.21875" bestFit="1" customWidth="1"/>
  </cols>
  <sheetData>
    <row r="1" spans="1:4" ht="17.399999999999999" x14ac:dyDescent="0.3">
      <c r="A1" s="29" t="s">
        <v>67</v>
      </c>
      <c r="B1" s="30"/>
      <c r="C1" s="30"/>
      <c r="D1" s="30"/>
    </row>
    <row r="2" spans="1:4" ht="30" x14ac:dyDescent="0.3">
      <c r="A2" s="1" t="s">
        <v>51</v>
      </c>
      <c r="B2" s="1" t="s">
        <v>52</v>
      </c>
      <c r="C2" s="16" t="s">
        <v>53</v>
      </c>
      <c r="D2" s="18" t="s">
        <v>54</v>
      </c>
    </row>
    <row r="3" spans="1:4" ht="15" customHeight="1" x14ac:dyDescent="0.3">
      <c r="A3" s="4" t="s">
        <v>55</v>
      </c>
      <c r="B3" s="2" t="s">
        <v>56</v>
      </c>
      <c r="C3" s="17">
        <v>45000</v>
      </c>
      <c r="D3" s="19" t="s">
        <v>57</v>
      </c>
    </row>
    <row r="4" spans="1:4" ht="15" x14ac:dyDescent="0.3">
      <c r="A4" s="4" t="s">
        <v>58</v>
      </c>
      <c r="B4" s="2" t="s">
        <v>59</v>
      </c>
      <c r="C4" s="17">
        <v>1200</v>
      </c>
      <c r="D4" s="19" t="s">
        <v>60</v>
      </c>
    </row>
    <row r="5" spans="1:4" ht="15" x14ac:dyDescent="0.3">
      <c r="A5" s="4" t="s">
        <v>61</v>
      </c>
      <c r="B5" s="2" t="s">
        <v>62</v>
      </c>
      <c r="C5" s="17">
        <v>18000</v>
      </c>
      <c r="D5" s="19" t="s">
        <v>63</v>
      </c>
    </row>
    <row r="6" spans="1:4" ht="15" x14ac:dyDescent="0.3">
      <c r="A6" s="4" t="s">
        <v>64</v>
      </c>
      <c r="B6" s="2" t="s">
        <v>65</v>
      </c>
      <c r="C6" s="17">
        <v>62000</v>
      </c>
      <c r="D6" s="19" t="s">
        <v>66</v>
      </c>
    </row>
    <row r="7" spans="1:4" ht="15" x14ac:dyDescent="0.3">
      <c r="A7" s="4" t="s">
        <v>70</v>
      </c>
      <c r="B7" s="2" t="s">
        <v>59</v>
      </c>
      <c r="C7" s="17">
        <v>340000</v>
      </c>
      <c r="D7" s="19" t="s">
        <v>72</v>
      </c>
    </row>
    <row r="8" spans="1:4" ht="15" x14ac:dyDescent="0.3">
      <c r="A8" s="4" t="s">
        <v>68</v>
      </c>
      <c r="B8" s="2" t="s">
        <v>62</v>
      </c>
      <c r="C8" s="17">
        <v>250000</v>
      </c>
      <c r="D8" s="19" t="s">
        <v>73</v>
      </c>
    </row>
    <row r="9" spans="1:4" ht="15" x14ac:dyDescent="0.3">
      <c r="A9" s="4" t="s">
        <v>58</v>
      </c>
      <c r="B9" s="2" t="s">
        <v>65</v>
      </c>
      <c r="C9" s="17">
        <v>200000</v>
      </c>
      <c r="D9" s="19" t="s">
        <v>74</v>
      </c>
    </row>
    <row r="10" spans="1:4" ht="15" x14ac:dyDescent="0.3">
      <c r="A10" s="4" t="s">
        <v>61</v>
      </c>
      <c r="B10" s="2" t="s">
        <v>62</v>
      </c>
      <c r="C10" s="17">
        <v>314400</v>
      </c>
      <c r="D10" s="19" t="s">
        <v>75</v>
      </c>
    </row>
    <row r="11" spans="1:4" ht="15" x14ac:dyDescent="0.3">
      <c r="A11" s="4" t="s">
        <v>64</v>
      </c>
      <c r="B11" s="2" t="s">
        <v>56</v>
      </c>
      <c r="C11" s="17">
        <v>360278.57142857101</v>
      </c>
      <c r="D11" s="19" t="s">
        <v>76</v>
      </c>
    </row>
    <row r="12" spans="1:4" ht="15" x14ac:dyDescent="0.3">
      <c r="A12" s="4" t="s">
        <v>70</v>
      </c>
      <c r="B12" s="2" t="s">
        <v>56</v>
      </c>
      <c r="C12" s="17">
        <v>406157.14285714302</v>
      </c>
      <c r="D12" s="19" t="s">
        <v>77</v>
      </c>
    </row>
    <row r="13" spans="1:4" ht="15" x14ac:dyDescent="0.3">
      <c r="A13" s="4" t="s">
        <v>69</v>
      </c>
      <c r="B13" s="2" t="s">
        <v>59</v>
      </c>
      <c r="C13" s="17">
        <v>452035.71428571403</v>
      </c>
      <c r="D13" s="19" t="s">
        <v>78</v>
      </c>
    </row>
    <row r="14" spans="1:4" ht="15" x14ac:dyDescent="0.3">
      <c r="A14" s="4" t="s">
        <v>58</v>
      </c>
      <c r="B14" s="2" t="s">
        <v>62</v>
      </c>
      <c r="C14" s="17">
        <v>497914.28571428597</v>
      </c>
      <c r="D14" s="19" t="s">
        <v>79</v>
      </c>
    </row>
    <row r="15" spans="1:4" ht="15" x14ac:dyDescent="0.3">
      <c r="A15" s="4" t="s">
        <v>61</v>
      </c>
      <c r="B15" s="2" t="s">
        <v>65</v>
      </c>
      <c r="C15" s="17">
        <v>543792.85714285704</v>
      </c>
      <c r="D15" s="19" t="s">
        <v>80</v>
      </c>
    </row>
    <row r="16" spans="1:4" ht="15" x14ac:dyDescent="0.3">
      <c r="A16" s="4" t="s">
        <v>64</v>
      </c>
      <c r="B16" s="2" t="s">
        <v>59</v>
      </c>
      <c r="C16" s="17">
        <v>589671.42857142899</v>
      </c>
      <c r="D16" s="19" t="s">
        <v>81</v>
      </c>
    </row>
    <row r="17" spans="1:4" ht="15" x14ac:dyDescent="0.3">
      <c r="A17" s="4" t="s">
        <v>70</v>
      </c>
      <c r="B17" s="2" t="s">
        <v>62</v>
      </c>
      <c r="C17" s="17">
        <v>635550</v>
      </c>
      <c r="D17" s="19" t="s">
        <v>82</v>
      </c>
    </row>
    <row r="18" spans="1:4" ht="15" x14ac:dyDescent="0.3">
      <c r="A18" s="4" t="s">
        <v>71</v>
      </c>
      <c r="B18" s="2" t="s">
        <v>65</v>
      </c>
      <c r="C18" s="17">
        <v>681428.57142857101</v>
      </c>
      <c r="D18" s="19" t="s">
        <v>83</v>
      </c>
    </row>
    <row r="19" spans="1:4" ht="15" x14ac:dyDescent="0.3">
      <c r="A19" s="4" t="s">
        <v>58</v>
      </c>
      <c r="B19" s="2" t="s">
        <v>62</v>
      </c>
      <c r="C19" s="17">
        <v>727307.14285714296</v>
      </c>
      <c r="D19" s="19" t="s">
        <v>84</v>
      </c>
    </row>
    <row r="20" spans="1:4" ht="15" x14ac:dyDescent="0.3">
      <c r="A20" s="4" t="s">
        <v>61</v>
      </c>
      <c r="B20" s="2" t="s">
        <v>56</v>
      </c>
      <c r="C20" s="17">
        <v>773185.71428571397</v>
      </c>
      <c r="D20" s="19" t="s">
        <v>85</v>
      </c>
    </row>
    <row r="21" spans="1:4" ht="15" x14ac:dyDescent="0.3">
      <c r="A21" s="4" t="s">
        <v>64</v>
      </c>
      <c r="B21" s="2" t="s">
        <v>56</v>
      </c>
      <c r="C21" s="17">
        <v>819064.28571428603</v>
      </c>
      <c r="D21" s="19" t="s">
        <v>86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B696-C325-4B9D-85BB-7CD49F942C74}">
  <dimension ref="A1:F21"/>
  <sheetViews>
    <sheetView workbookViewId="0">
      <selection activeCell="C8" sqref="C8:C21"/>
    </sheetView>
  </sheetViews>
  <sheetFormatPr defaultRowHeight="14.4" x14ac:dyDescent="0.3"/>
  <cols>
    <col min="2" max="2" width="8.44140625" bestFit="1" customWidth="1"/>
    <col min="6" max="6" width="9.6640625" bestFit="1" customWidth="1"/>
  </cols>
  <sheetData>
    <row r="1" spans="1:6" ht="30" x14ac:dyDescent="0.3">
      <c r="A1" s="23" t="s">
        <v>87</v>
      </c>
      <c r="B1" s="24" t="s">
        <v>88</v>
      </c>
      <c r="C1" s="23" t="s">
        <v>89</v>
      </c>
      <c r="D1" s="23" t="s">
        <v>90</v>
      </c>
      <c r="E1" s="23" t="s">
        <v>91</v>
      </c>
      <c r="F1" s="26" t="s">
        <v>92</v>
      </c>
    </row>
    <row r="2" spans="1:6" ht="15" x14ac:dyDescent="0.3">
      <c r="A2" s="2">
        <v>1</v>
      </c>
      <c r="B2" s="19" t="s">
        <v>93</v>
      </c>
      <c r="C2" s="2">
        <v>78</v>
      </c>
      <c r="D2" s="2">
        <v>82</v>
      </c>
      <c r="E2" s="2">
        <v>74</v>
      </c>
      <c r="F2" s="27">
        <f>(C2+D2+E2)/300</f>
        <v>0.78</v>
      </c>
    </row>
    <row r="3" spans="1:6" ht="15" x14ac:dyDescent="0.3">
      <c r="A3" s="2">
        <v>2</v>
      </c>
      <c r="B3" s="19" t="s">
        <v>94</v>
      </c>
      <c r="C3" s="2">
        <v>65</v>
      </c>
      <c r="D3" s="2">
        <v>70</v>
      </c>
      <c r="E3" s="2">
        <v>68</v>
      </c>
      <c r="F3" s="27">
        <f t="shared" ref="F3:F21" si="0">(C3+D3+E3)/300</f>
        <v>0.67666666666666664</v>
      </c>
    </row>
    <row r="4" spans="1:6" ht="15" x14ac:dyDescent="0.3">
      <c r="A4" s="2">
        <v>3</v>
      </c>
      <c r="B4" s="19" t="s">
        <v>95</v>
      </c>
      <c r="C4" s="2">
        <v>90</v>
      </c>
      <c r="D4" s="2">
        <v>88</v>
      </c>
      <c r="E4" s="2">
        <v>92</v>
      </c>
      <c r="F4" s="27">
        <f t="shared" si="0"/>
        <v>0.9</v>
      </c>
    </row>
    <row r="5" spans="1:6" ht="15" x14ac:dyDescent="0.3">
      <c r="A5" s="2">
        <v>4</v>
      </c>
      <c r="B5" s="19" t="s">
        <v>96</v>
      </c>
      <c r="C5" s="2">
        <v>35</v>
      </c>
      <c r="D5" s="2">
        <v>40</v>
      </c>
      <c r="E5" s="2">
        <v>38</v>
      </c>
      <c r="F5" s="27">
        <f t="shared" si="0"/>
        <v>0.37666666666666665</v>
      </c>
    </row>
    <row r="6" spans="1:6" ht="15" x14ac:dyDescent="0.3">
      <c r="A6" s="2">
        <v>5</v>
      </c>
      <c r="B6" s="19" t="s">
        <v>97</v>
      </c>
      <c r="C6" s="2">
        <v>55</v>
      </c>
      <c r="D6" s="2">
        <v>60</v>
      </c>
      <c r="E6" s="2">
        <v>58</v>
      </c>
      <c r="F6" s="27">
        <f t="shared" si="0"/>
        <v>0.57666666666666666</v>
      </c>
    </row>
    <row r="7" spans="1:6" ht="15" x14ac:dyDescent="0.3">
      <c r="A7" s="2">
        <v>6</v>
      </c>
      <c r="B7" s="19" t="s">
        <v>76</v>
      </c>
      <c r="C7" s="2">
        <v>45</v>
      </c>
      <c r="D7" s="2">
        <v>45</v>
      </c>
      <c r="E7" s="2">
        <v>54</v>
      </c>
      <c r="F7" s="27">
        <f t="shared" si="0"/>
        <v>0.48</v>
      </c>
    </row>
    <row r="8" spans="1:6" ht="15" x14ac:dyDescent="0.3">
      <c r="A8" s="2">
        <v>7</v>
      </c>
      <c r="B8" s="19" t="s">
        <v>73</v>
      </c>
      <c r="C8" s="2">
        <v>65</v>
      </c>
      <c r="D8" s="2">
        <v>65</v>
      </c>
      <c r="E8" s="2">
        <v>72</v>
      </c>
      <c r="F8" s="27">
        <f t="shared" si="0"/>
        <v>0.67333333333333334</v>
      </c>
    </row>
    <row r="9" spans="1:6" ht="15" x14ac:dyDescent="0.3">
      <c r="A9" s="2">
        <v>8</v>
      </c>
      <c r="B9" s="19" t="s">
        <v>83</v>
      </c>
      <c r="C9" s="2">
        <v>76</v>
      </c>
      <c r="D9" s="2">
        <v>76</v>
      </c>
      <c r="E9" s="2">
        <v>84</v>
      </c>
      <c r="F9" s="27">
        <f t="shared" si="0"/>
        <v>0.78666666666666663</v>
      </c>
    </row>
    <row r="10" spans="1:6" ht="15" x14ac:dyDescent="0.3">
      <c r="A10" s="2">
        <v>9</v>
      </c>
      <c r="B10" s="19" t="s">
        <v>98</v>
      </c>
      <c r="C10" s="2">
        <v>87</v>
      </c>
      <c r="D10" s="2">
        <v>71</v>
      </c>
      <c r="E10" s="2">
        <v>73</v>
      </c>
      <c r="F10" s="27">
        <f t="shared" si="0"/>
        <v>0.77</v>
      </c>
    </row>
    <row r="11" spans="1:6" ht="15" x14ac:dyDescent="0.3">
      <c r="A11" s="2">
        <v>10</v>
      </c>
      <c r="B11" s="19" t="s">
        <v>99</v>
      </c>
      <c r="C11" s="2">
        <v>54</v>
      </c>
      <c r="D11" s="2">
        <v>70</v>
      </c>
      <c r="E11" s="2">
        <v>78</v>
      </c>
      <c r="F11" s="27">
        <f t="shared" si="0"/>
        <v>0.67333333333333334</v>
      </c>
    </row>
    <row r="12" spans="1:6" ht="15" x14ac:dyDescent="0.3">
      <c r="A12" s="2">
        <v>11</v>
      </c>
      <c r="B12" s="19" t="s">
        <v>100</v>
      </c>
      <c r="C12" s="2">
        <v>67</v>
      </c>
      <c r="D12" s="2">
        <v>59</v>
      </c>
      <c r="E12" s="2">
        <v>55</v>
      </c>
      <c r="F12" s="27">
        <f t="shared" si="0"/>
        <v>0.60333333333333339</v>
      </c>
    </row>
    <row r="13" spans="1:6" ht="15" x14ac:dyDescent="0.3">
      <c r="A13" s="2">
        <v>12</v>
      </c>
      <c r="B13" s="19" t="s">
        <v>77</v>
      </c>
      <c r="C13" s="2">
        <v>68</v>
      </c>
      <c r="D13" s="2">
        <v>70</v>
      </c>
      <c r="E13" s="2">
        <v>70</v>
      </c>
      <c r="F13" s="27">
        <f t="shared" si="0"/>
        <v>0.69333333333333336</v>
      </c>
    </row>
    <row r="14" spans="1:6" ht="15" x14ac:dyDescent="0.3">
      <c r="A14" s="2">
        <v>13</v>
      </c>
      <c r="B14" s="19" t="s">
        <v>79</v>
      </c>
      <c r="C14" s="2">
        <v>78</v>
      </c>
      <c r="D14" s="2">
        <v>80</v>
      </c>
      <c r="E14" s="2">
        <v>90</v>
      </c>
      <c r="F14" s="27">
        <f t="shared" si="0"/>
        <v>0.82666666666666666</v>
      </c>
    </row>
    <row r="15" spans="1:6" ht="15" x14ac:dyDescent="0.3">
      <c r="A15" s="2">
        <v>14</v>
      </c>
      <c r="B15" s="19" t="s">
        <v>101</v>
      </c>
      <c r="C15" s="2">
        <v>98</v>
      </c>
      <c r="D15" s="2">
        <v>84</v>
      </c>
      <c r="E15" s="2">
        <v>87</v>
      </c>
      <c r="F15" s="27">
        <f t="shared" si="0"/>
        <v>0.89666666666666661</v>
      </c>
    </row>
    <row r="16" spans="1:6" ht="15" x14ac:dyDescent="0.3">
      <c r="A16" s="2">
        <v>15</v>
      </c>
      <c r="B16" s="19" t="s">
        <v>63</v>
      </c>
      <c r="C16" s="2">
        <v>65</v>
      </c>
      <c r="D16" s="2">
        <v>92</v>
      </c>
      <c r="E16" s="2">
        <v>54</v>
      </c>
      <c r="F16" s="27">
        <f t="shared" si="0"/>
        <v>0.70333333333333337</v>
      </c>
    </row>
    <row r="17" spans="1:6" ht="15" x14ac:dyDescent="0.3">
      <c r="A17" s="2">
        <v>16</v>
      </c>
      <c r="B17" s="19" t="s">
        <v>102</v>
      </c>
      <c r="C17" s="2">
        <v>78</v>
      </c>
      <c r="D17" s="2">
        <v>75</v>
      </c>
      <c r="E17" s="2">
        <v>76</v>
      </c>
      <c r="F17" s="27">
        <f t="shared" si="0"/>
        <v>0.76333333333333331</v>
      </c>
    </row>
    <row r="18" spans="1:6" ht="15" x14ac:dyDescent="0.3">
      <c r="A18" s="2">
        <v>17</v>
      </c>
      <c r="B18" s="19" t="s">
        <v>81</v>
      </c>
      <c r="C18" s="2">
        <v>88</v>
      </c>
      <c r="D18" s="2">
        <v>77</v>
      </c>
      <c r="E18" s="2">
        <v>91</v>
      </c>
      <c r="F18" s="27">
        <f t="shared" si="0"/>
        <v>0.85333333333333339</v>
      </c>
    </row>
    <row r="19" spans="1:6" ht="15" x14ac:dyDescent="0.3">
      <c r="A19" s="2">
        <v>18</v>
      </c>
      <c r="B19" s="19" t="s">
        <v>103</v>
      </c>
      <c r="C19" s="2">
        <v>85</v>
      </c>
      <c r="D19" s="2">
        <v>94</v>
      </c>
      <c r="E19" s="2">
        <v>67</v>
      </c>
      <c r="F19" s="27">
        <f t="shared" si="0"/>
        <v>0.82</v>
      </c>
    </row>
    <row r="20" spans="1:6" ht="15" x14ac:dyDescent="0.3">
      <c r="A20" s="2">
        <v>19</v>
      </c>
      <c r="B20" s="19" t="s">
        <v>104</v>
      </c>
      <c r="C20" s="2">
        <v>72</v>
      </c>
      <c r="D20" s="2">
        <v>62</v>
      </c>
      <c r="E20" s="2">
        <v>87</v>
      </c>
      <c r="F20" s="27">
        <f t="shared" si="0"/>
        <v>0.73666666666666669</v>
      </c>
    </row>
    <row r="21" spans="1:6" ht="15" x14ac:dyDescent="0.3">
      <c r="A21" s="2">
        <v>20</v>
      </c>
      <c r="B21" s="19" t="s">
        <v>105</v>
      </c>
      <c r="C21" s="2">
        <v>93</v>
      </c>
      <c r="D21" s="2">
        <v>54</v>
      </c>
      <c r="E21" s="2">
        <v>45</v>
      </c>
      <c r="F21" s="27">
        <f t="shared" si="0"/>
        <v>0.64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1E97-A7E8-4F71-9273-0CA74BA2B023}">
  <dimension ref="A1:C26"/>
  <sheetViews>
    <sheetView topLeftCell="A4" workbookViewId="0">
      <selection activeCell="A27" sqref="A27"/>
    </sheetView>
  </sheetViews>
  <sheetFormatPr defaultRowHeight="14.4" x14ac:dyDescent="0.3"/>
  <cols>
    <col min="2" max="2" width="11.88671875" bestFit="1" customWidth="1"/>
    <col min="3" max="3" width="11.77734375" bestFit="1" customWidth="1"/>
  </cols>
  <sheetData>
    <row r="1" spans="1:3" ht="30" x14ac:dyDescent="0.3">
      <c r="A1" s="1" t="s">
        <v>106</v>
      </c>
      <c r="B1" s="1" t="s">
        <v>107</v>
      </c>
      <c r="C1" s="16" t="s">
        <v>53</v>
      </c>
    </row>
    <row r="2" spans="1:3" ht="15" x14ac:dyDescent="0.3">
      <c r="A2" s="2" t="s">
        <v>108</v>
      </c>
      <c r="B2" s="3">
        <v>45292</v>
      </c>
      <c r="C2" s="17">
        <v>12000</v>
      </c>
    </row>
    <row r="3" spans="1:3" ht="15" x14ac:dyDescent="0.3">
      <c r="A3" s="2" t="s">
        <v>109</v>
      </c>
      <c r="B3" s="3">
        <v>45294</v>
      </c>
      <c r="C3" s="17">
        <v>25000</v>
      </c>
    </row>
    <row r="4" spans="1:3" ht="15" x14ac:dyDescent="0.3">
      <c r="A4" s="2" t="s">
        <v>110</v>
      </c>
      <c r="B4" s="3">
        <v>45296</v>
      </c>
      <c r="C4" s="17">
        <v>8000</v>
      </c>
    </row>
    <row r="5" spans="1:3" ht="15" x14ac:dyDescent="0.3">
      <c r="A5" s="2" t="s">
        <v>111</v>
      </c>
      <c r="B5" s="3">
        <v>45299</v>
      </c>
      <c r="C5" s="17">
        <v>32000</v>
      </c>
    </row>
    <row r="6" spans="1:3" ht="15" x14ac:dyDescent="0.3">
      <c r="A6" s="2" t="s">
        <v>112</v>
      </c>
      <c r="B6" s="3">
        <v>45301</v>
      </c>
      <c r="C6" s="17">
        <v>15000</v>
      </c>
    </row>
    <row r="7" spans="1:3" ht="15" x14ac:dyDescent="0.3">
      <c r="A7" s="2" t="s">
        <v>113</v>
      </c>
      <c r="B7" s="5">
        <v>44537</v>
      </c>
      <c r="C7" s="17">
        <v>20000</v>
      </c>
    </row>
    <row r="8" spans="1:3" ht="15" x14ac:dyDescent="0.3">
      <c r="A8" s="2" t="s">
        <v>114</v>
      </c>
      <c r="B8" s="5">
        <v>43830</v>
      </c>
      <c r="C8" s="17">
        <v>12000</v>
      </c>
    </row>
    <row r="9" spans="1:3" ht="15" x14ac:dyDescent="0.3">
      <c r="A9" s="2" t="s">
        <v>115</v>
      </c>
      <c r="B9" s="5">
        <v>45181</v>
      </c>
      <c r="C9" s="17">
        <v>10000</v>
      </c>
    </row>
    <row r="10" spans="1:3" ht="15" x14ac:dyDescent="0.3">
      <c r="A10" s="2" t="s">
        <v>116</v>
      </c>
      <c r="B10" s="5">
        <v>45123</v>
      </c>
      <c r="C10" s="17">
        <v>13535.714285714301</v>
      </c>
    </row>
    <row r="11" spans="1:3" ht="15" x14ac:dyDescent="0.3">
      <c r="A11" s="2" t="s">
        <v>117</v>
      </c>
      <c r="B11" s="3">
        <v>45292</v>
      </c>
      <c r="C11" s="17">
        <v>12821.4285714286</v>
      </c>
    </row>
    <row r="12" spans="1:3" ht="15" x14ac:dyDescent="0.3">
      <c r="A12" s="2" t="s">
        <v>118</v>
      </c>
      <c r="B12" s="3">
        <v>45294</v>
      </c>
      <c r="C12" s="17">
        <v>12107.142857142901</v>
      </c>
    </row>
    <row r="13" spans="1:3" ht="15" x14ac:dyDescent="0.3">
      <c r="A13" s="2" t="s">
        <v>119</v>
      </c>
      <c r="B13" s="3">
        <v>45296</v>
      </c>
      <c r="C13" s="17">
        <v>11392.857142857099</v>
      </c>
    </row>
    <row r="14" spans="1:3" ht="15" x14ac:dyDescent="0.3">
      <c r="A14" s="2" t="s">
        <v>120</v>
      </c>
      <c r="B14" s="3">
        <v>45299</v>
      </c>
      <c r="C14" s="17">
        <v>10678.5714285714</v>
      </c>
    </row>
    <row r="15" spans="1:3" ht="15" x14ac:dyDescent="0.3">
      <c r="A15" s="2" t="s">
        <v>121</v>
      </c>
      <c r="B15" s="3">
        <v>45301</v>
      </c>
      <c r="C15" s="17">
        <v>9964.2857142857101</v>
      </c>
    </row>
    <row r="16" spans="1:3" ht="15" x14ac:dyDescent="0.3">
      <c r="A16" s="2" t="s">
        <v>122</v>
      </c>
      <c r="B16" s="5">
        <v>44537</v>
      </c>
      <c r="C16" s="17">
        <v>9250</v>
      </c>
    </row>
    <row r="17" spans="1:3" ht="15" x14ac:dyDescent="0.3">
      <c r="A17" s="2" t="s">
        <v>123</v>
      </c>
      <c r="B17" s="5">
        <v>43830</v>
      </c>
      <c r="C17" s="17">
        <v>8535.7142857143008</v>
      </c>
    </row>
    <row r="18" spans="1:3" ht="15" x14ac:dyDescent="0.3">
      <c r="A18" s="2" t="s">
        <v>124</v>
      </c>
      <c r="B18" s="5">
        <v>45181</v>
      </c>
      <c r="C18" s="17">
        <v>7821.4285714285998</v>
      </c>
    </row>
    <row r="19" spans="1:3" ht="15" x14ac:dyDescent="0.3">
      <c r="A19" s="2" t="s">
        <v>125</v>
      </c>
      <c r="B19" s="5">
        <v>45123</v>
      </c>
      <c r="C19" s="17">
        <v>7107.1428571428996</v>
      </c>
    </row>
    <row r="20" spans="1:3" ht="15" x14ac:dyDescent="0.3">
      <c r="A20" s="2" t="s">
        <v>126</v>
      </c>
      <c r="B20" s="3">
        <v>45292</v>
      </c>
      <c r="C20" s="17">
        <v>6392.8571428571004</v>
      </c>
    </row>
    <row r="21" spans="1:3" ht="15" x14ac:dyDescent="0.3">
      <c r="A21" s="2" t="s">
        <v>127</v>
      </c>
      <c r="B21" s="3">
        <v>45294</v>
      </c>
      <c r="C21" s="17">
        <v>5678.5714285714002</v>
      </c>
    </row>
    <row r="22" spans="1:3" ht="15" x14ac:dyDescent="0.3">
      <c r="A22" s="2"/>
      <c r="B22" s="3"/>
      <c r="C22" s="17"/>
    </row>
    <row r="23" spans="1:3" ht="15" x14ac:dyDescent="0.3">
      <c r="A23" s="2"/>
      <c r="B23" t="s">
        <v>128</v>
      </c>
      <c r="C23" s="25">
        <f>SUM(C2:C21)</f>
        <v>249285.71428571429</v>
      </c>
    </row>
    <row r="24" spans="1:3" ht="15" x14ac:dyDescent="0.3">
      <c r="A24" s="2"/>
      <c r="B24" t="s">
        <v>129</v>
      </c>
      <c r="C24" s="25">
        <f>AVERAGE(C2:C21)</f>
        <v>12464.285714285714</v>
      </c>
    </row>
    <row r="25" spans="1:3" x14ac:dyDescent="0.3">
      <c r="B25" t="s">
        <v>130</v>
      </c>
      <c r="C25" s="25">
        <f>MAX(C2:C21)</f>
        <v>32000</v>
      </c>
    </row>
    <row r="26" spans="1:3" x14ac:dyDescent="0.3">
      <c r="B26" t="s">
        <v>131</v>
      </c>
      <c r="C26" s="25">
        <f>MIN(C2:C21)</f>
        <v>5678.5714285714002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F95A-0228-43BE-B60D-170C040760F9}">
  <dimension ref="A1:I24"/>
  <sheetViews>
    <sheetView topLeftCell="A2" workbookViewId="0">
      <selection activeCell="A4" sqref="A4:A20"/>
    </sheetView>
  </sheetViews>
  <sheetFormatPr defaultRowHeight="14.4" x14ac:dyDescent="0.3"/>
  <cols>
    <col min="1" max="1" width="8.33203125" bestFit="1" customWidth="1"/>
    <col min="2" max="2" width="13.77734375" bestFit="1" customWidth="1"/>
    <col min="3" max="3" width="11.77734375" bestFit="1" customWidth="1"/>
  </cols>
  <sheetData>
    <row r="1" spans="1:9" ht="45" customHeight="1" x14ac:dyDescent="0.3">
      <c r="A1" s="1" t="s">
        <v>132</v>
      </c>
      <c r="B1" s="18" t="s">
        <v>2</v>
      </c>
      <c r="C1" s="18" t="s">
        <v>3</v>
      </c>
      <c r="D1" s="31" t="s">
        <v>139</v>
      </c>
      <c r="E1" s="31" t="s">
        <v>140</v>
      </c>
      <c r="F1" s="31" t="s">
        <v>141</v>
      </c>
      <c r="G1" s="31" t="s">
        <v>142</v>
      </c>
      <c r="H1" s="31" t="s">
        <v>143</v>
      </c>
      <c r="I1" s="31" t="s">
        <v>144</v>
      </c>
    </row>
    <row r="2" spans="1:9" ht="15" x14ac:dyDescent="0.3">
      <c r="A2" s="19" t="s">
        <v>133</v>
      </c>
      <c r="B2" s="19" t="s">
        <v>7</v>
      </c>
      <c r="C2" s="28">
        <v>28000</v>
      </c>
      <c r="D2">
        <f>SUMIF(B2:B21,"HR",C2:C21)</f>
        <v>150000</v>
      </c>
      <c r="E2">
        <f>SUMIF(B2:B21,"IT",C2:C21)</f>
        <v>236000</v>
      </c>
      <c r="F2">
        <f>SUMIF(B2:B21,"Finance",C2:C21)</f>
        <v>153000</v>
      </c>
      <c r="G2">
        <f>SUMIF(B2:B21,"Sales",C2:C21)</f>
        <v>103333.3333333333</v>
      </c>
      <c r="H2">
        <f>SUMIF(B2:B21,"Marketing",C2:C21)</f>
        <v>72000</v>
      </c>
      <c r="I2">
        <f>SUMIF(B2:B21,"Management",C2:C21)</f>
        <v>56000</v>
      </c>
    </row>
    <row r="3" spans="1:9" ht="15" x14ac:dyDescent="0.3">
      <c r="A3" s="19" t="s">
        <v>134</v>
      </c>
      <c r="B3" s="19" t="s">
        <v>10</v>
      </c>
      <c r="C3" s="28">
        <v>45000</v>
      </c>
    </row>
    <row r="4" spans="1:9" ht="15" x14ac:dyDescent="0.3">
      <c r="A4" s="19" t="s">
        <v>135</v>
      </c>
      <c r="B4" s="19" t="s">
        <v>10</v>
      </c>
      <c r="C4" s="28">
        <v>50000</v>
      </c>
    </row>
    <row r="5" spans="1:9" ht="15" x14ac:dyDescent="0.3">
      <c r="A5" s="19" t="s">
        <v>136</v>
      </c>
      <c r="B5" s="19" t="s">
        <v>13</v>
      </c>
      <c r="C5" s="28">
        <v>42000</v>
      </c>
    </row>
    <row r="6" spans="1:9" ht="15" x14ac:dyDescent="0.3">
      <c r="A6" s="19" t="s">
        <v>101</v>
      </c>
      <c r="B6" s="19" t="s">
        <v>7</v>
      </c>
      <c r="C6" s="28">
        <v>30000</v>
      </c>
    </row>
    <row r="7" spans="1:9" ht="15" x14ac:dyDescent="0.3">
      <c r="A7" s="19" t="s">
        <v>137</v>
      </c>
      <c r="B7" s="19" t="s">
        <v>13</v>
      </c>
      <c r="C7" s="28">
        <v>38000</v>
      </c>
    </row>
    <row r="8" spans="1:9" ht="15" x14ac:dyDescent="0.3">
      <c r="A8" s="19" t="s">
        <v>96</v>
      </c>
      <c r="B8" s="19" t="s">
        <v>7</v>
      </c>
      <c r="C8" s="28">
        <v>60000</v>
      </c>
    </row>
    <row r="9" spans="1:9" ht="15" x14ac:dyDescent="0.3">
      <c r="A9" s="19" t="s">
        <v>97</v>
      </c>
      <c r="B9" s="19" t="s">
        <v>10</v>
      </c>
      <c r="C9" s="28">
        <v>45000</v>
      </c>
    </row>
    <row r="10" spans="1:9" ht="15" x14ac:dyDescent="0.3">
      <c r="A10" s="19" t="s">
        <v>76</v>
      </c>
      <c r="B10" s="19" t="s">
        <v>13</v>
      </c>
      <c r="C10" s="28">
        <v>50000</v>
      </c>
    </row>
    <row r="11" spans="1:9" ht="15" x14ac:dyDescent="0.3">
      <c r="A11" s="19" t="s">
        <v>73</v>
      </c>
      <c r="B11" s="19" t="s">
        <v>10</v>
      </c>
      <c r="C11" s="28">
        <v>34000</v>
      </c>
    </row>
    <row r="12" spans="1:9" ht="15" x14ac:dyDescent="0.3">
      <c r="A12" s="19" t="s">
        <v>83</v>
      </c>
      <c r="B12" s="19" t="s">
        <v>18</v>
      </c>
      <c r="C12" s="28">
        <v>32000</v>
      </c>
    </row>
    <row r="13" spans="1:9" ht="15" x14ac:dyDescent="0.3">
      <c r="A13" s="19" t="s">
        <v>98</v>
      </c>
      <c r="B13" s="19" t="s">
        <v>49</v>
      </c>
      <c r="C13" s="28">
        <v>45000</v>
      </c>
    </row>
    <row r="14" spans="1:9" ht="15" x14ac:dyDescent="0.3">
      <c r="A14" s="19" t="s">
        <v>99</v>
      </c>
      <c r="B14" s="19" t="s">
        <v>50</v>
      </c>
      <c r="C14" s="28">
        <v>56000</v>
      </c>
    </row>
    <row r="15" spans="1:9" ht="15" x14ac:dyDescent="0.3">
      <c r="A15" s="19" t="s">
        <v>100</v>
      </c>
      <c r="B15" s="19" t="s">
        <v>7</v>
      </c>
      <c r="C15" s="28">
        <v>32000</v>
      </c>
    </row>
    <row r="16" spans="1:9" ht="15" x14ac:dyDescent="0.3">
      <c r="A16" s="19" t="s">
        <v>77</v>
      </c>
      <c r="B16" s="19" t="s">
        <v>10</v>
      </c>
      <c r="C16" s="28">
        <v>19000</v>
      </c>
    </row>
    <row r="17" spans="1:3" ht="15" x14ac:dyDescent="0.3">
      <c r="A17" s="19" t="s">
        <v>79</v>
      </c>
      <c r="B17" s="19" t="s">
        <v>13</v>
      </c>
      <c r="C17" s="28">
        <v>23000</v>
      </c>
    </row>
    <row r="18" spans="1:3" ht="15" x14ac:dyDescent="0.3">
      <c r="A18" s="19" t="s">
        <v>101</v>
      </c>
      <c r="B18" s="19" t="s">
        <v>10</v>
      </c>
      <c r="C18" s="28">
        <v>43000</v>
      </c>
    </row>
    <row r="19" spans="1:3" ht="15" x14ac:dyDescent="0.3">
      <c r="A19" s="19" t="s">
        <v>63</v>
      </c>
      <c r="B19" s="19" t="s">
        <v>18</v>
      </c>
      <c r="C19" s="28">
        <v>48000</v>
      </c>
    </row>
    <row r="20" spans="1:3" ht="15" x14ac:dyDescent="0.3">
      <c r="A20" s="19" t="s">
        <v>102</v>
      </c>
      <c r="B20" s="19" t="s">
        <v>49</v>
      </c>
      <c r="C20" s="28">
        <v>27000</v>
      </c>
    </row>
    <row r="21" spans="1:3" ht="15" x14ac:dyDescent="0.3">
      <c r="A21" s="19" t="s">
        <v>63</v>
      </c>
      <c r="B21" s="19" t="s">
        <v>18</v>
      </c>
      <c r="C21" s="28">
        <v>23333.333333333299</v>
      </c>
    </row>
    <row r="22" spans="1:3" ht="15" x14ac:dyDescent="0.3">
      <c r="A22" s="19"/>
      <c r="B22" s="19" t="s">
        <v>129</v>
      </c>
      <c r="C22" s="25">
        <f>AVERAGE(C2:C21)</f>
        <v>38516.666666666664</v>
      </c>
    </row>
    <row r="23" spans="1:3" ht="15" x14ac:dyDescent="0.3">
      <c r="A23" s="19"/>
      <c r="B23" s="19" t="s">
        <v>138</v>
      </c>
      <c r="C23">
        <f>COUNTA(A2:A21)</f>
        <v>20</v>
      </c>
    </row>
    <row r="24" spans="1:3" ht="15" x14ac:dyDescent="0.3">
      <c r="A24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8C0B-C7C6-42DF-9704-790A81989F24}">
  <dimension ref="A1:H26"/>
  <sheetViews>
    <sheetView workbookViewId="0">
      <selection activeCell="H3" sqref="H3"/>
    </sheetView>
  </sheetViews>
  <sheetFormatPr defaultRowHeight="14.4" x14ac:dyDescent="0.3"/>
  <sheetData>
    <row r="1" spans="1:8" ht="30" x14ac:dyDescent="0.3">
      <c r="A1" s="32" t="s">
        <v>88</v>
      </c>
      <c r="B1" s="32" t="s">
        <v>145</v>
      </c>
      <c r="C1" s="32" t="s">
        <v>146</v>
      </c>
      <c r="D1" s="32" t="s">
        <v>147</v>
      </c>
      <c r="E1" s="32" t="s">
        <v>148</v>
      </c>
      <c r="F1" s="32" t="s">
        <v>149</v>
      </c>
      <c r="G1" s="32" t="s">
        <v>152</v>
      </c>
      <c r="H1" s="32" t="s">
        <v>153</v>
      </c>
    </row>
    <row r="2" spans="1:8" ht="15" x14ac:dyDescent="0.3">
      <c r="A2" s="33" t="s">
        <v>93</v>
      </c>
      <c r="B2" s="33" t="s">
        <v>150</v>
      </c>
      <c r="C2" s="33" t="s">
        <v>151</v>
      </c>
      <c r="D2" s="33" t="s">
        <v>150</v>
      </c>
      <c r="E2" s="33" t="s">
        <v>150</v>
      </c>
      <c r="F2" s="33" t="s">
        <v>150</v>
      </c>
      <c r="G2">
        <f>COUNTIF(B2:F22,"P")</f>
        <v>67</v>
      </c>
      <c r="H2">
        <f>COUNTIF(B2:F22,"A")</f>
        <v>38</v>
      </c>
    </row>
    <row r="3" spans="1:8" ht="15" x14ac:dyDescent="0.3">
      <c r="A3" s="33" t="s">
        <v>94</v>
      </c>
      <c r="B3" s="33" t="s">
        <v>150</v>
      </c>
      <c r="C3" s="33" t="s">
        <v>150</v>
      </c>
      <c r="D3" s="33" t="s">
        <v>150</v>
      </c>
      <c r="E3" s="33" t="s">
        <v>151</v>
      </c>
      <c r="F3" s="33" t="s">
        <v>150</v>
      </c>
    </row>
    <row r="4" spans="1:8" ht="15" x14ac:dyDescent="0.3">
      <c r="A4" s="33" t="s">
        <v>95</v>
      </c>
      <c r="B4" s="33" t="s">
        <v>151</v>
      </c>
      <c r="C4" s="33" t="s">
        <v>150</v>
      </c>
      <c r="D4" s="33" t="s">
        <v>150</v>
      </c>
      <c r="E4" s="33" t="s">
        <v>150</v>
      </c>
      <c r="F4" s="33" t="s">
        <v>150</v>
      </c>
    </row>
    <row r="5" spans="1:8" ht="15" x14ac:dyDescent="0.3">
      <c r="A5" s="33" t="s">
        <v>96</v>
      </c>
      <c r="B5" s="33" t="s">
        <v>150</v>
      </c>
      <c r="C5" s="33" t="s">
        <v>151</v>
      </c>
      <c r="D5" s="33" t="s">
        <v>151</v>
      </c>
      <c r="E5" s="33" t="s">
        <v>150</v>
      </c>
      <c r="F5" s="33" t="s">
        <v>151</v>
      </c>
    </row>
    <row r="6" spans="1:8" ht="15" x14ac:dyDescent="0.3">
      <c r="A6" s="19" t="s">
        <v>101</v>
      </c>
      <c r="B6" s="33" t="s">
        <v>151</v>
      </c>
      <c r="C6" s="33" t="s">
        <v>150</v>
      </c>
      <c r="D6" s="33" t="s">
        <v>150</v>
      </c>
      <c r="E6" s="33" t="s">
        <v>150</v>
      </c>
      <c r="F6" s="33" t="s">
        <v>150</v>
      </c>
    </row>
    <row r="7" spans="1:8" ht="15" x14ac:dyDescent="0.3">
      <c r="A7" s="19" t="s">
        <v>97</v>
      </c>
      <c r="B7" s="33" t="s">
        <v>151</v>
      </c>
      <c r="C7" s="33" t="s">
        <v>150</v>
      </c>
      <c r="D7" s="33" t="s">
        <v>151</v>
      </c>
      <c r="E7" s="33" t="s">
        <v>150</v>
      </c>
      <c r="F7" s="33" t="s">
        <v>150</v>
      </c>
    </row>
    <row r="8" spans="1:8" ht="15" x14ac:dyDescent="0.3">
      <c r="A8" s="19" t="s">
        <v>76</v>
      </c>
      <c r="B8" s="33" t="s">
        <v>150</v>
      </c>
      <c r="C8" s="33" t="s">
        <v>151</v>
      </c>
      <c r="D8" s="33" t="s">
        <v>151</v>
      </c>
      <c r="E8" s="33" t="s">
        <v>151</v>
      </c>
      <c r="F8" s="33" t="s">
        <v>151</v>
      </c>
    </row>
    <row r="9" spans="1:8" ht="15" x14ac:dyDescent="0.3">
      <c r="A9" s="19" t="s">
        <v>73</v>
      </c>
      <c r="B9" s="33" t="s">
        <v>150</v>
      </c>
      <c r="C9" s="33" t="s">
        <v>150</v>
      </c>
      <c r="D9" s="33" t="s">
        <v>151</v>
      </c>
      <c r="E9" s="33" t="s">
        <v>150</v>
      </c>
      <c r="F9" s="33" t="s">
        <v>150</v>
      </c>
    </row>
    <row r="10" spans="1:8" ht="15" x14ac:dyDescent="0.3">
      <c r="A10" s="19" t="s">
        <v>83</v>
      </c>
      <c r="B10" s="33" t="s">
        <v>150</v>
      </c>
      <c r="C10" s="33" t="s">
        <v>151</v>
      </c>
      <c r="D10" s="33" t="s">
        <v>150</v>
      </c>
      <c r="E10" s="33" t="s">
        <v>151</v>
      </c>
      <c r="F10" s="33" t="s">
        <v>151</v>
      </c>
    </row>
    <row r="11" spans="1:8" ht="15" x14ac:dyDescent="0.3">
      <c r="A11" s="19" t="s">
        <v>98</v>
      </c>
      <c r="B11" s="33" t="s">
        <v>150</v>
      </c>
      <c r="C11" s="33" t="s">
        <v>151</v>
      </c>
      <c r="D11" s="33" t="s">
        <v>150</v>
      </c>
      <c r="E11" s="33" t="s">
        <v>151</v>
      </c>
      <c r="F11" s="33" t="s">
        <v>151</v>
      </c>
    </row>
    <row r="12" spans="1:8" ht="15" x14ac:dyDescent="0.3">
      <c r="A12" s="19" t="s">
        <v>99</v>
      </c>
      <c r="B12" s="33" t="s">
        <v>151</v>
      </c>
      <c r="C12" s="33" t="s">
        <v>150</v>
      </c>
      <c r="D12" s="33" t="s">
        <v>150</v>
      </c>
      <c r="E12" s="33" t="s">
        <v>151</v>
      </c>
      <c r="F12" s="33" t="s">
        <v>151</v>
      </c>
    </row>
    <row r="13" spans="1:8" ht="15" x14ac:dyDescent="0.3">
      <c r="A13" s="19" t="s">
        <v>100</v>
      </c>
      <c r="B13" s="33" t="s">
        <v>151</v>
      </c>
      <c r="C13" s="33" t="s">
        <v>150</v>
      </c>
      <c r="D13" s="33" t="s">
        <v>151</v>
      </c>
      <c r="E13" s="33" t="s">
        <v>150</v>
      </c>
      <c r="F13" s="33" t="s">
        <v>150</v>
      </c>
    </row>
    <row r="14" spans="1:8" ht="15" x14ac:dyDescent="0.3">
      <c r="A14" s="19" t="s">
        <v>77</v>
      </c>
      <c r="B14" s="33" t="s">
        <v>150</v>
      </c>
      <c r="C14" s="33" t="s">
        <v>150</v>
      </c>
      <c r="D14" s="33" t="s">
        <v>150</v>
      </c>
      <c r="E14" s="33" t="s">
        <v>150</v>
      </c>
      <c r="F14" s="33" t="s">
        <v>150</v>
      </c>
    </row>
    <row r="15" spans="1:8" ht="15" x14ac:dyDescent="0.3">
      <c r="A15" s="19" t="s">
        <v>79</v>
      </c>
      <c r="B15" s="33" t="s">
        <v>150</v>
      </c>
      <c r="C15" s="33" t="s">
        <v>150</v>
      </c>
      <c r="D15" s="33" t="s">
        <v>150</v>
      </c>
      <c r="E15" s="33" t="s">
        <v>150</v>
      </c>
      <c r="F15" s="33" t="s">
        <v>150</v>
      </c>
    </row>
    <row r="16" spans="1:8" ht="15" x14ac:dyDescent="0.3">
      <c r="A16" s="19" t="s">
        <v>101</v>
      </c>
      <c r="B16" s="33" t="s">
        <v>151</v>
      </c>
      <c r="C16" s="33" t="s">
        <v>151</v>
      </c>
      <c r="D16" s="33" t="s">
        <v>151</v>
      </c>
      <c r="E16" s="33" t="s">
        <v>151</v>
      </c>
      <c r="F16" s="33" t="s">
        <v>151</v>
      </c>
    </row>
    <row r="17" spans="1:6" ht="15" x14ac:dyDescent="0.3">
      <c r="A17" s="19" t="s">
        <v>63</v>
      </c>
      <c r="B17" s="33" t="s">
        <v>150</v>
      </c>
      <c r="C17" s="33" t="s">
        <v>151</v>
      </c>
      <c r="D17" s="33" t="s">
        <v>150</v>
      </c>
      <c r="E17" s="33" t="s">
        <v>150</v>
      </c>
      <c r="F17" s="33" t="s">
        <v>150</v>
      </c>
    </row>
    <row r="18" spans="1:6" ht="15" x14ac:dyDescent="0.3">
      <c r="A18" s="19" t="s">
        <v>102</v>
      </c>
      <c r="B18" s="33" t="s">
        <v>151</v>
      </c>
      <c r="C18" s="33" t="s">
        <v>150</v>
      </c>
      <c r="D18" s="33" t="s">
        <v>150</v>
      </c>
      <c r="E18" s="33" t="s">
        <v>150</v>
      </c>
      <c r="F18" s="33" t="s">
        <v>150</v>
      </c>
    </row>
    <row r="19" spans="1:6" ht="15" x14ac:dyDescent="0.3">
      <c r="A19" s="19" t="s">
        <v>81</v>
      </c>
      <c r="B19" s="33" t="s">
        <v>151</v>
      </c>
      <c r="C19" s="33" t="s">
        <v>150</v>
      </c>
      <c r="D19" s="33" t="s">
        <v>150</v>
      </c>
      <c r="E19" s="33" t="s">
        <v>151</v>
      </c>
      <c r="F19" s="33" t="s">
        <v>151</v>
      </c>
    </row>
    <row r="20" spans="1:6" ht="15" x14ac:dyDescent="0.3">
      <c r="A20" s="19" t="s">
        <v>103</v>
      </c>
      <c r="B20" s="33" t="s">
        <v>150</v>
      </c>
      <c r="C20" s="33" t="s">
        <v>151</v>
      </c>
      <c r="D20" s="33" t="s">
        <v>150</v>
      </c>
      <c r="E20" s="33" t="s">
        <v>150</v>
      </c>
      <c r="F20" s="33" t="s">
        <v>150</v>
      </c>
    </row>
    <row r="21" spans="1:6" ht="15" x14ac:dyDescent="0.3">
      <c r="A21" s="19" t="s">
        <v>104</v>
      </c>
      <c r="B21" s="33" t="s">
        <v>150</v>
      </c>
      <c r="C21" s="33" t="s">
        <v>150</v>
      </c>
      <c r="D21" s="33" t="s">
        <v>151</v>
      </c>
      <c r="E21" s="33" t="s">
        <v>150</v>
      </c>
      <c r="F21" s="33" t="s">
        <v>150</v>
      </c>
    </row>
    <row r="22" spans="1:6" ht="15" x14ac:dyDescent="0.3">
      <c r="A22" s="19" t="s">
        <v>105</v>
      </c>
      <c r="B22" s="33" t="s">
        <v>150</v>
      </c>
      <c r="C22" s="33" t="s">
        <v>151</v>
      </c>
      <c r="D22" s="33" t="s">
        <v>150</v>
      </c>
      <c r="E22" s="33" t="s">
        <v>150</v>
      </c>
      <c r="F22" s="33" t="s">
        <v>150</v>
      </c>
    </row>
    <row r="23" spans="1:6" ht="15" x14ac:dyDescent="0.3">
      <c r="C23" s="33"/>
    </row>
    <row r="24" spans="1:6" ht="15" x14ac:dyDescent="0.3">
      <c r="C24" s="33"/>
    </row>
    <row r="25" spans="1:6" ht="15" x14ac:dyDescent="0.3">
      <c r="C25" s="33"/>
    </row>
    <row r="26" spans="1:6" ht="15" x14ac:dyDescent="0.3">
      <c r="C26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6ACD-40EF-44A1-A137-0F7457B2643A}">
  <dimension ref="A1:D21"/>
  <sheetViews>
    <sheetView workbookViewId="0">
      <selection activeCell="B8" sqref="B8:B21"/>
    </sheetView>
  </sheetViews>
  <sheetFormatPr defaultRowHeight="14.4" x14ac:dyDescent="0.3"/>
  <sheetData>
    <row r="1" spans="1:4" ht="60" x14ac:dyDescent="0.3">
      <c r="A1" s="32" t="s">
        <v>160</v>
      </c>
      <c r="B1" s="32" t="s">
        <v>53</v>
      </c>
      <c r="C1" s="34" t="s">
        <v>175</v>
      </c>
      <c r="D1" s="34" t="s">
        <v>176</v>
      </c>
    </row>
    <row r="2" spans="1:4" ht="15" x14ac:dyDescent="0.3">
      <c r="A2" s="33" t="s">
        <v>154</v>
      </c>
      <c r="B2" s="33">
        <v>4500</v>
      </c>
      <c r="C2">
        <f>COUNTIF(B2:B21,"&gt;10000")</f>
        <v>8</v>
      </c>
      <c r="D2">
        <f>COUNTIF(B2:B21,"&lt;5000")</f>
        <v>10</v>
      </c>
    </row>
    <row r="3" spans="1:4" ht="15" x14ac:dyDescent="0.3">
      <c r="A3" s="33" t="s">
        <v>155</v>
      </c>
      <c r="B3" s="33">
        <v>12000</v>
      </c>
    </row>
    <row r="4" spans="1:4" ht="15" x14ac:dyDescent="0.3">
      <c r="A4" s="33" t="s">
        <v>156</v>
      </c>
      <c r="B4" s="33">
        <v>8000</v>
      </c>
    </row>
    <row r="5" spans="1:4" ht="15" x14ac:dyDescent="0.3">
      <c r="A5" s="33" t="s">
        <v>157</v>
      </c>
      <c r="B5" s="33">
        <v>25000</v>
      </c>
    </row>
    <row r="6" spans="1:4" ht="15" x14ac:dyDescent="0.3">
      <c r="A6" s="33" t="s">
        <v>158</v>
      </c>
      <c r="B6" s="33">
        <v>3000</v>
      </c>
    </row>
    <row r="7" spans="1:4" ht="15" x14ac:dyDescent="0.3">
      <c r="A7" s="33" t="s">
        <v>159</v>
      </c>
      <c r="B7" s="33">
        <v>15000</v>
      </c>
    </row>
    <row r="8" spans="1:4" ht="15" x14ac:dyDescent="0.3">
      <c r="A8" s="33" t="s">
        <v>161</v>
      </c>
      <c r="B8" s="33">
        <v>2000</v>
      </c>
    </row>
    <row r="9" spans="1:4" ht="15" x14ac:dyDescent="0.3">
      <c r="A9" s="33" t="s">
        <v>162</v>
      </c>
      <c r="B9" s="33">
        <v>30000</v>
      </c>
    </row>
    <row r="10" spans="1:4" ht="15" x14ac:dyDescent="0.3">
      <c r="A10" s="33" t="s">
        <v>163</v>
      </c>
      <c r="B10" s="33">
        <v>2100</v>
      </c>
    </row>
    <row r="11" spans="1:4" ht="15" x14ac:dyDescent="0.3">
      <c r="A11" s="33" t="s">
        <v>164</v>
      </c>
      <c r="B11" s="33">
        <v>3400</v>
      </c>
    </row>
    <row r="12" spans="1:4" ht="15" x14ac:dyDescent="0.3">
      <c r="A12" s="33" t="s">
        <v>165</v>
      </c>
      <c r="B12" s="33">
        <v>4500</v>
      </c>
    </row>
    <row r="13" spans="1:4" ht="15" x14ac:dyDescent="0.3">
      <c r="A13" s="33" t="s">
        <v>166</v>
      </c>
      <c r="B13" s="33">
        <v>12000</v>
      </c>
    </row>
    <row r="14" spans="1:4" ht="15" x14ac:dyDescent="0.3">
      <c r="A14" s="33" t="s">
        <v>167</v>
      </c>
      <c r="B14" s="33">
        <v>8000</v>
      </c>
    </row>
    <row r="15" spans="1:4" ht="15" x14ac:dyDescent="0.3">
      <c r="A15" s="33" t="s">
        <v>168</v>
      </c>
      <c r="B15" s="33">
        <v>25000</v>
      </c>
    </row>
    <row r="16" spans="1:4" ht="15" x14ac:dyDescent="0.3">
      <c r="A16" s="33" t="s">
        <v>169</v>
      </c>
      <c r="B16" s="33">
        <v>3000</v>
      </c>
    </row>
    <row r="17" spans="1:2" ht="15" x14ac:dyDescent="0.3">
      <c r="A17" s="33" t="s">
        <v>170</v>
      </c>
      <c r="B17" s="33">
        <v>15000</v>
      </c>
    </row>
    <row r="18" spans="1:2" ht="15" x14ac:dyDescent="0.3">
      <c r="A18" s="33" t="s">
        <v>171</v>
      </c>
      <c r="B18" s="33">
        <v>2000</v>
      </c>
    </row>
    <row r="19" spans="1:2" ht="15" x14ac:dyDescent="0.3">
      <c r="A19" s="33" t="s">
        <v>172</v>
      </c>
      <c r="B19" s="33">
        <v>30000</v>
      </c>
    </row>
    <row r="20" spans="1:2" ht="15" x14ac:dyDescent="0.3">
      <c r="A20" s="33" t="s">
        <v>173</v>
      </c>
      <c r="B20" s="33">
        <v>2100</v>
      </c>
    </row>
    <row r="21" spans="1:2" ht="15" x14ac:dyDescent="0.3">
      <c r="A21" s="33" t="s">
        <v>174</v>
      </c>
      <c r="B21" s="33">
        <v>3400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2865-995A-4C4E-BA39-A26D9982098B}">
  <dimension ref="A1:B21"/>
  <sheetViews>
    <sheetView topLeftCell="A5" workbookViewId="0">
      <selection activeCell="C11" sqref="C11"/>
    </sheetView>
  </sheetViews>
  <sheetFormatPr defaultRowHeight="14.4" x14ac:dyDescent="0.3"/>
  <sheetData>
    <row r="1" spans="1:2" ht="28.8" x14ac:dyDescent="0.3">
      <c r="A1" s="35" t="s">
        <v>177</v>
      </c>
      <c r="B1" s="35" t="s">
        <v>53</v>
      </c>
    </row>
    <row r="2" spans="1:2" x14ac:dyDescent="0.3">
      <c r="A2" s="36" t="s">
        <v>178</v>
      </c>
      <c r="B2" s="36">
        <v>22000</v>
      </c>
    </row>
    <row r="3" spans="1:2" ht="28.8" x14ac:dyDescent="0.3">
      <c r="A3" s="36" t="s">
        <v>179</v>
      </c>
      <c r="B3" s="36">
        <v>3500</v>
      </c>
    </row>
    <row r="4" spans="1:2" x14ac:dyDescent="0.3">
      <c r="A4" s="36" t="s">
        <v>180</v>
      </c>
      <c r="B4" s="36">
        <v>58000</v>
      </c>
    </row>
    <row r="5" spans="1:2" ht="28.8" x14ac:dyDescent="0.3">
      <c r="A5" s="36" t="s">
        <v>181</v>
      </c>
      <c r="B5" s="36">
        <v>1800</v>
      </c>
    </row>
    <row r="6" spans="1:2" x14ac:dyDescent="0.3">
      <c r="A6" s="36" t="s">
        <v>182</v>
      </c>
      <c r="B6" s="36">
        <v>12000</v>
      </c>
    </row>
    <row r="7" spans="1:2" x14ac:dyDescent="0.3">
      <c r="A7" s="36" t="s">
        <v>178</v>
      </c>
      <c r="B7" s="36">
        <v>12950</v>
      </c>
    </row>
    <row r="8" spans="1:2" ht="28.8" x14ac:dyDescent="0.3">
      <c r="A8" s="36" t="s">
        <v>179</v>
      </c>
      <c r="B8" s="36">
        <v>10780</v>
      </c>
    </row>
    <row r="9" spans="1:2" x14ac:dyDescent="0.3">
      <c r="A9" s="36" t="s">
        <v>180</v>
      </c>
      <c r="B9" s="36">
        <v>8610</v>
      </c>
    </row>
    <row r="10" spans="1:2" ht="28.8" x14ac:dyDescent="0.3">
      <c r="A10" s="36" t="s">
        <v>181</v>
      </c>
      <c r="B10" s="36">
        <v>6440</v>
      </c>
    </row>
    <row r="11" spans="1:2" x14ac:dyDescent="0.3">
      <c r="A11" s="36" t="s">
        <v>182</v>
      </c>
      <c r="B11" s="36">
        <v>4270</v>
      </c>
    </row>
    <row r="12" spans="1:2" x14ac:dyDescent="0.3">
      <c r="A12" s="36" t="s">
        <v>178</v>
      </c>
      <c r="B12" s="36">
        <v>32000</v>
      </c>
    </row>
    <row r="13" spans="1:2" ht="28.8" x14ac:dyDescent="0.3">
      <c r="A13" s="36" t="s">
        <v>179</v>
      </c>
      <c r="B13" s="36">
        <v>21000</v>
      </c>
    </row>
    <row r="14" spans="1:2" x14ac:dyDescent="0.3">
      <c r="A14" s="36" t="s">
        <v>180</v>
      </c>
      <c r="B14" s="36">
        <v>12000</v>
      </c>
    </row>
    <row r="15" spans="1:2" ht="28.8" x14ac:dyDescent="0.3">
      <c r="A15" s="36" t="s">
        <v>181</v>
      </c>
      <c r="B15" s="36">
        <v>10000</v>
      </c>
    </row>
    <row r="16" spans="1:2" x14ac:dyDescent="0.3">
      <c r="A16" s="36" t="s">
        <v>182</v>
      </c>
      <c r="B16" s="36">
        <v>6000</v>
      </c>
    </row>
    <row r="17" spans="1:2" x14ac:dyDescent="0.3">
      <c r="A17" s="36" t="s">
        <v>178</v>
      </c>
      <c r="B17" s="36">
        <v>3200</v>
      </c>
    </row>
    <row r="18" spans="1:2" ht="28.8" x14ac:dyDescent="0.3">
      <c r="A18" s="36" t="s">
        <v>179</v>
      </c>
      <c r="B18" s="36">
        <v>4300</v>
      </c>
    </row>
    <row r="19" spans="1:2" ht="28.8" x14ac:dyDescent="0.3">
      <c r="A19" s="36" t="s">
        <v>181</v>
      </c>
      <c r="B19" s="36">
        <v>5400</v>
      </c>
    </row>
    <row r="20" spans="1:2" x14ac:dyDescent="0.3">
      <c r="A20" s="36" t="s">
        <v>182</v>
      </c>
      <c r="B20" s="36">
        <v>2000</v>
      </c>
    </row>
    <row r="21" spans="1:2" x14ac:dyDescent="0.3">
      <c r="A21" s="36" t="s">
        <v>178</v>
      </c>
      <c r="B21" s="36">
        <v>3200</v>
      </c>
    </row>
  </sheetData>
  <conditionalFormatting sqref="B2:B21">
    <cfRule type="cellIs" dxfId="9" priority="2" operator="greaterThan">
      <formula>20000</formula>
    </cfRule>
    <cfRule type="cellIs" dxfId="10" priority="1" operator="lessThan">
      <formula>5000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4C5C-0F9A-4C64-9768-90BD329491D4}">
  <dimension ref="A1:C24"/>
  <sheetViews>
    <sheetView workbookViewId="0">
      <selection activeCell="F5" sqref="F5"/>
    </sheetView>
  </sheetViews>
  <sheetFormatPr defaultRowHeight="14.4" x14ac:dyDescent="0.3"/>
  <sheetData>
    <row r="1" spans="1:3" ht="15" x14ac:dyDescent="0.3">
      <c r="A1" s="32" t="s">
        <v>87</v>
      </c>
      <c r="B1" s="32" t="s">
        <v>1</v>
      </c>
      <c r="C1" s="32" t="s">
        <v>183</v>
      </c>
    </row>
    <row r="2" spans="1:3" ht="15" x14ac:dyDescent="0.3">
      <c r="A2" s="33">
        <v>1</v>
      </c>
      <c r="B2" s="33" t="s">
        <v>101</v>
      </c>
      <c r="C2" s="33">
        <v>85</v>
      </c>
    </row>
    <row r="3" spans="1:3" ht="15" x14ac:dyDescent="0.3">
      <c r="A3" s="33">
        <v>2</v>
      </c>
      <c r="B3" s="33" t="s">
        <v>184</v>
      </c>
      <c r="C3" s="33">
        <v>72</v>
      </c>
    </row>
    <row r="4" spans="1:3" ht="15" x14ac:dyDescent="0.3">
      <c r="A4" s="33">
        <v>3</v>
      </c>
      <c r="B4" s="33" t="s">
        <v>185</v>
      </c>
      <c r="C4" s="33">
        <v>39</v>
      </c>
    </row>
    <row r="5" spans="1:3" ht="15" x14ac:dyDescent="0.3">
      <c r="A5" s="33">
        <v>4</v>
      </c>
      <c r="B5" s="33" t="s">
        <v>186</v>
      </c>
      <c r="C5" s="33">
        <v>91</v>
      </c>
    </row>
    <row r="6" spans="1:3" ht="15" x14ac:dyDescent="0.3">
      <c r="A6" s="33">
        <v>5</v>
      </c>
      <c r="B6" s="33" t="s">
        <v>187</v>
      </c>
      <c r="C6" s="33">
        <v>28</v>
      </c>
    </row>
    <row r="7" spans="1:3" ht="15" x14ac:dyDescent="0.3">
      <c r="A7" s="33">
        <v>6</v>
      </c>
      <c r="B7" s="19" t="s">
        <v>134</v>
      </c>
      <c r="C7" s="2">
        <v>65</v>
      </c>
    </row>
    <row r="8" spans="1:3" ht="15" x14ac:dyDescent="0.3">
      <c r="A8" s="33">
        <v>7</v>
      </c>
      <c r="B8" s="19" t="s">
        <v>135</v>
      </c>
      <c r="C8" s="2">
        <v>76</v>
      </c>
    </row>
    <row r="9" spans="1:3" ht="15" x14ac:dyDescent="0.3">
      <c r="A9" s="33">
        <v>8</v>
      </c>
      <c r="B9" s="19" t="s">
        <v>136</v>
      </c>
      <c r="C9" s="2">
        <v>87</v>
      </c>
    </row>
    <row r="10" spans="1:3" ht="15" x14ac:dyDescent="0.3">
      <c r="A10" s="33">
        <v>9</v>
      </c>
      <c r="B10" s="19" t="s">
        <v>101</v>
      </c>
      <c r="C10" s="2">
        <v>54</v>
      </c>
    </row>
    <row r="11" spans="1:3" ht="15" x14ac:dyDescent="0.3">
      <c r="A11" s="33">
        <v>10</v>
      </c>
      <c r="B11" s="19" t="s">
        <v>137</v>
      </c>
      <c r="C11" s="2">
        <v>67</v>
      </c>
    </row>
    <row r="12" spans="1:3" ht="15" x14ac:dyDescent="0.3">
      <c r="A12" s="33">
        <v>11</v>
      </c>
      <c r="B12" s="19" t="s">
        <v>96</v>
      </c>
      <c r="C12" s="2">
        <v>68</v>
      </c>
    </row>
    <row r="13" spans="1:3" ht="15" x14ac:dyDescent="0.3">
      <c r="A13" s="33">
        <v>12</v>
      </c>
      <c r="B13" s="19" t="s">
        <v>97</v>
      </c>
      <c r="C13" s="2">
        <v>78</v>
      </c>
    </row>
    <row r="14" spans="1:3" ht="15" x14ac:dyDescent="0.3">
      <c r="A14" s="33">
        <v>13</v>
      </c>
      <c r="B14" s="19" t="s">
        <v>76</v>
      </c>
      <c r="C14" s="2">
        <v>98</v>
      </c>
    </row>
    <row r="15" spans="1:3" ht="15" x14ac:dyDescent="0.3">
      <c r="A15" s="33">
        <v>14</v>
      </c>
      <c r="B15" s="19" t="s">
        <v>73</v>
      </c>
      <c r="C15" s="2">
        <v>65</v>
      </c>
    </row>
    <row r="16" spans="1:3" ht="15" x14ac:dyDescent="0.3">
      <c r="A16" s="33">
        <v>15</v>
      </c>
      <c r="B16" s="19" t="s">
        <v>83</v>
      </c>
      <c r="C16" s="2">
        <v>78</v>
      </c>
    </row>
    <row r="17" spans="1:3" ht="15" x14ac:dyDescent="0.3">
      <c r="A17" s="33">
        <v>16</v>
      </c>
      <c r="B17" s="19" t="s">
        <v>98</v>
      </c>
      <c r="C17" s="2">
        <v>88</v>
      </c>
    </row>
    <row r="18" spans="1:3" ht="15" x14ac:dyDescent="0.3">
      <c r="A18" s="33">
        <v>17</v>
      </c>
      <c r="B18" s="19" t="s">
        <v>99</v>
      </c>
      <c r="C18" s="2">
        <v>85</v>
      </c>
    </row>
    <row r="19" spans="1:3" ht="15" x14ac:dyDescent="0.3">
      <c r="A19" s="33">
        <v>18</v>
      </c>
      <c r="B19" s="19" t="s">
        <v>100</v>
      </c>
      <c r="C19" s="2">
        <v>72</v>
      </c>
    </row>
    <row r="20" spans="1:3" ht="15" x14ac:dyDescent="0.3">
      <c r="A20" s="33">
        <v>19</v>
      </c>
      <c r="B20" s="19" t="s">
        <v>77</v>
      </c>
      <c r="C20" s="2">
        <v>93</v>
      </c>
    </row>
    <row r="21" spans="1:3" ht="15" x14ac:dyDescent="0.3">
      <c r="A21" s="33">
        <v>20</v>
      </c>
      <c r="B21" s="19" t="s">
        <v>79</v>
      </c>
      <c r="C21" s="2">
        <v>79</v>
      </c>
    </row>
    <row r="22" spans="1:3" ht="15" x14ac:dyDescent="0.3">
      <c r="B22" s="19"/>
    </row>
    <row r="23" spans="1:3" ht="15" x14ac:dyDescent="0.3">
      <c r="B23" s="19"/>
    </row>
    <row r="24" spans="1:3" ht="15" x14ac:dyDescent="0.3">
      <c r="B24" s="19"/>
    </row>
  </sheetData>
  <conditionalFormatting sqref="C2:C21">
    <cfRule type="cellIs" dxfId="6" priority="2" operator="greaterThan">
      <formula>75</formula>
    </cfRule>
    <cfRule type="cellIs" dxfId="7" priority="1" operator="lessThan">
      <formula>40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EE90-8758-44F9-8B25-9F6FFD221FA7}">
  <dimension ref="A1:B23"/>
  <sheetViews>
    <sheetView tabSelected="1" workbookViewId="0">
      <selection activeCell="D6" sqref="D6"/>
    </sheetView>
  </sheetViews>
  <sheetFormatPr defaultRowHeight="14.4" x14ac:dyDescent="0.3"/>
  <sheetData>
    <row r="1" spans="1:2" ht="45" x14ac:dyDescent="0.3">
      <c r="A1" s="32" t="s">
        <v>132</v>
      </c>
      <c r="B1" s="32" t="s">
        <v>3</v>
      </c>
    </row>
    <row r="2" spans="1:2" ht="15" x14ac:dyDescent="0.3">
      <c r="A2" s="33" t="s">
        <v>188</v>
      </c>
      <c r="B2" s="33">
        <v>28000</v>
      </c>
    </row>
    <row r="3" spans="1:2" ht="15" x14ac:dyDescent="0.3">
      <c r="A3" s="33" t="s">
        <v>189</v>
      </c>
      <c r="B3" s="33">
        <v>34000</v>
      </c>
    </row>
    <row r="4" spans="1:2" ht="15" x14ac:dyDescent="0.3">
      <c r="A4" s="33" t="s">
        <v>190</v>
      </c>
      <c r="B4" s="33">
        <v>51000</v>
      </c>
    </row>
    <row r="5" spans="1:2" ht="15" x14ac:dyDescent="0.3">
      <c r="A5" s="33" t="s">
        <v>191</v>
      </c>
      <c r="B5" s="33">
        <v>47000</v>
      </c>
    </row>
    <row r="6" spans="1:2" ht="15" x14ac:dyDescent="0.3">
      <c r="A6" s="33" t="s">
        <v>192</v>
      </c>
      <c r="B6" s="33">
        <v>29000</v>
      </c>
    </row>
    <row r="7" spans="1:2" ht="15" x14ac:dyDescent="0.3">
      <c r="A7" s="19" t="s">
        <v>135</v>
      </c>
      <c r="B7" s="33">
        <v>2000</v>
      </c>
    </row>
    <row r="8" spans="1:2" ht="15" x14ac:dyDescent="0.3">
      <c r="A8" s="19" t="s">
        <v>136</v>
      </c>
      <c r="B8" s="33">
        <v>60000</v>
      </c>
    </row>
    <row r="9" spans="1:2" ht="15" x14ac:dyDescent="0.3">
      <c r="A9" s="19" t="s">
        <v>101</v>
      </c>
      <c r="B9" s="33">
        <v>2100</v>
      </c>
    </row>
    <row r="10" spans="1:2" ht="15" x14ac:dyDescent="0.3">
      <c r="A10" s="19" t="s">
        <v>137</v>
      </c>
      <c r="B10" s="33">
        <v>3400</v>
      </c>
    </row>
    <row r="11" spans="1:2" ht="15" x14ac:dyDescent="0.3">
      <c r="A11" s="19" t="s">
        <v>96</v>
      </c>
      <c r="B11" s="33">
        <v>4500</v>
      </c>
    </row>
    <row r="12" spans="1:2" ht="15" x14ac:dyDescent="0.3">
      <c r="A12" s="19" t="s">
        <v>97</v>
      </c>
      <c r="B12" s="33">
        <v>12000</v>
      </c>
    </row>
    <row r="13" spans="1:2" ht="15" x14ac:dyDescent="0.3">
      <c r="A13" s="19" t="s">
        <v>76</v>
      </c>
      <c r="B13" s="33">
        <v>8000</v>
      </c>
    </row>
    <row r="14" spans="1:2" ht="15" x14ac:dyDescent="0.3">
      <c r="A14" s="19" t="s">
        <v>73</v>
      </c>
      <c r="B14" s="33">
        <v>55000</v>
      </c>
    </row>
    <row r="15" spans="1:2" ht="15" x14ac:dyDescent="0.3">
      <c r="A15" s="19" t="s">
        <v>83</v>
      </c>
      <c r="B15" s="33">
        <v>3000</v>
      </c>
    </row>
    <row r="16" spans="1:2" ht="15" x14ac:dyDescent="0.3">
      <c r="A16" s="19" t="s">
        <v>98</v>
      </c>
      <c r="B16" s="33">
        <v>15000</v>
      </c>
    </row>
    <row r="17" spans="1:2" ht="15" x14ac:dyDescent="0.3">
      <c r="A17" s="19" t="s">
        <v>99</v>
      </c>
      <c r="B17" s="33">
        <v>2000</v>
      </c>
    </row>
    <row r="18" spans="1:2" ht="15" x14ac:dyDescent="0.3">
      <c r="A18" s="19" t="s">
        <v>100</v>
      </c>
      <c r="B18" s="33">
        <v>30000</v>
      </c>
    </row>
    <row r="19" spans="1:2" ht="15" x14ac:dyDescent="0.3">
      <c r="A19" s="19" t="s">
        <v>77</v>
      </c>
      <c r="B19" s="33">
        <v>2100</v>
      </c>
    </row>
    <row r="20" spans="1:2" ht="15" x14ac:dyDescent="0.3">
      <c r="A20" s="19" t="s">
        <v>79</v>
      </c>
      <c r="B20" s="33">
        <v>3400</v>
      </c>
    </row>
    <row r="21" spans="1:2" ht="15" x14ac:dyDescent="0.3">
      <c r="A21" s="19" t="s">
        <v>101</v>
      </c>
      <c r="B21" s="33">
        <v>7000</v>
      </c>
    </row>
    <row r="22" spans="1:2" ht="15" x14ac:dyDescent="0.3">
      <c r="A22" s="19"/>
    </row>
    <row r="23" spans="1:2" ht="15" x14ac:dyDescent="0.3">
      <c r="A23" s="19"/>
    </row>
  </sheetData>
  <conditionalFormatting sqref="B2:B21">
    <cfRule type="cellIs" dxfId="0" priority="3" operator="greaterThan">
      <formula>50000</formula>
    </cfRule>
    <cfRule type="cellIs" dxfId="1" priority="2" operator="between">
      <formula>30000</formula>
      <formula>49999</formula>
    </cfRule>
    <cfRule type="cellIs" dxfId="2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ishantyadav607@outlook.com</dc:creator>
  <cp:lastModifiedBy>ishantyadav607@outlook.com</cp:lastModifiedBy>
  <dcterms:created xsi:type="dcterms:W3CDTF">2026-06-23T13:13:45Z</dcterms:created>
  <dcterms:modified xsi:type="dcterms:W3CDTF">2026-06-24T05:39:58Z</dcterms:modified>
</cp:coreProperties>
</file>